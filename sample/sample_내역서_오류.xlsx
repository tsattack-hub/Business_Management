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원가계산서" sheetId="1" state="visible" r:id="rId3"/>
    <sheet name="내역서" sheetId="2" state="visible" r:id="rId4"/>
    <sheet name="수량산출서" sheetId="3" state="visible" r:id="rId5"/>
    <sheet name="일위대가표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<sst xmlns="http://schemas.openxmlformats.org/spreadsheetml/2006/main" count="223" uniqueCount="140">
  <si>
    <t xml:space="preserve">구 매 설 치 원 가 계 산 서</t>
  </si>
  <si>
    <r>
      <rPr>
        <sz val="10"/>
        <rFont val="Noto Sans CJK SC"/>
        <family val="2"/>
      </rPr>
      <t xml:space="preserve">사업명</t>
    </r>
    <r>
      <rPr>
        <sz val="10"/>
        <rFont val="Arial"/>
        <family val="0"/>
        <charset val="1"/>
      </rPr>
      <t xml:space="preserve">: OO</t>
    </r>
    <r>
      <rPr>
        <sz val="10"/>
        <rFont val="Noto Sans CJK SC"/>
        <family val="2"/>
      </rPr>
      <t xml:space="preserve">공항 여객터미널 </t>
    </r>
    <r>
      <rPr>
        <sz val="10"/>
        <rFont val="Arial"/>
        <family val="0"/>
        <charset val="1"/>
      </rPr>
      <t xml:space="preserve">CCTV </t>
    </r>
    <r>
      <rPr>
        <sz val="10"/>
        <rFont val="Noto Sans CJK SC"/>
        <family val="2"/>
      </rPr>
      <t xml:space="preserve">구매설치</t>
    </r>
  </si>
  <si>
    <r>
      <rPr>
        <sz val="9"/>
        <color rgb="FF777777"/>
        <rFont val="Noto Sans CJK SC"/>
        <family val="2"/>
      </rPr>
      <t xml:space="preserve">※ 노란 셀만 입력</t>
    </r>
    <r>
      <rPr>
        <sz val="9"/>
        <color rgb="FF777777"/>
        <rFont val="Arial"/>
        <family val="0"/>
        <charset val="1"/>
      </rPr>
      <t xml:space="preserve">. </t>
    </r>
    <r>
      <rPr>
        <sz val="9"/>
        <color rgb="FF777777"/>
        <rFont val="Noto Sans CJK SC"/>
        <family val="2"/>
      </rPr>
      <t xml:space="preserve">나머지는 수식입니다</t>
    </r>
    <r>
      <rPr>
        <sz val="9"/>
        <color rgb="FF777777"/>
        <rFont val="Arial"/>
        <family val="0"/>
        <charset val="1"/>
      </rPr>
      <t xml:space="preserve">.</t>
    </r>
  </si>
  <si>
    <t xml:space="preserve">비        목</t>
  </si>
  <si>
    <t xml:space="preserve">금        액</t>
  </si>
  <si>
    <t xml:space="preserve">산  출  근  거</t>
  </si>
  <si>
    <t xml:space="preserve">직접재료비</t>
  </si>
  <si>
    <t xml:space="preserve">내역서 재료비 합계</t>
  </si>
  <si>
    <t xml:space="preserve">직접노무비</t>
  </si>
  <si>
    <t xml:space="preserve">내역서 노무비 합계</t>
  </si>
  <si>
    <t xml:space="preserve">간접노무비</t>
  </si>
  <si>
    <r>
      <rPr>
        <sz val="9"/>
        <color rgb="FF666666"/>
        <rFont val="Noto Sans CJK SC"/>
        <family val="2"/>
      </rPr>
      <t xml:space="preserve">직접노무비 </t>
    </r>
    <r>
      <rPr>
        <sz val="9"/>
        <color rgb="FF666666"/>
        <rFont val="Arial"/>
        <family val="0"/>
        <charset val="1"/>
      </rPr>
      <t xml:space="preserve">× 10.1%  (</t>
    </r>
    <r>
      <rPr>
        <sz val="9"/>
        <color rgb="FF666666"/>
        <rFont val="Noto Sans CJK SC"/>
        <family val="2"/>
      </rPr>
      <t xml:space="preserve">설치분에만 적용</t>
    </r>
    <r>
      <rPr>
        <sz val="9"/>
        <color rgb="FF666666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</si>
  <si>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[ </t>
    </r>
    <r>
      <rPr>
        <b val="true"/>
        <sz val="10"/>
        <rFont val="Noto Sans CJK SC"/>
        <family val="2"/>
      </rPr>
      <t xml:space="preserve">노무비 계 </t>
    </r>
    <r>
      <rPr>
        <b val="true"/>
        <sz val="10"/>
        <rFont val="Arial"/>
        <family val="0"/>
        <charset val="1"/>
      </rPr>
      <t xml:space="preserve">]</t>
    </r>
  </si>
  <si>
    <t xml:space="preserve">기계경비</t>
  </si>
  <si>
    <t xml:space="preserve">내역서 경비 합계</t>
  </si>
  <si>
    <t xml:space="preserve">산재보험료</t>
  </si>
  <si>
    <r>
      <rPr>
        <sz val="9"/>
        <color rgb="FF666666"/>
        <rFont val="Noto Sans CJK SC"/>
        <family val="2"/>
      </rPr>
      <t xml:space="preserve">노무비 계 </t>
    </r>
    <r>
      <rPr>
        <sz val="9"/>
        <color rgb="FF666666"/>
        <rFont val="Arial"/>
        <family val="0"/>
        <charset val="1"/>
      </rPr>
      <t xml:space="preserve">× 3.89%</t>
    </r>
  </si>
  <si>
    <t xml:space="preserve">고용보험료</t>
  </si>
  <si>
    <r>
      <rPr>
        <sz val="9"/>
        <color rgb="FF666666"/>
        <rFont val="Noto Sans CJK SC"/>
        <family val="2"/>
      </rPr>
      <t xml:space="preserve">노무비 계 </t>
    </r>
    <r>
      <rPr>
        <sz val="9"/>
        <color rgb="FF666666"/>
        <rFont val="Arial"/>
        <family val="0"/>
        <charset val="1"/>
      </rPr>
      <t xml:space="preserve">× 0.87%</t>
    </r>
  </si>
  <si>
    <t xml:space="preserve">국민건강보험료</t>
  </si>
  <si>
    <r>
      <rPr>
        <sz val="9"/>
        <color rgb="FF666666"/>
        <rFont val="Noto Sans CJK SC"/>
        <family val="2"/>
      </rPr>
      <t xml:space="preserve">직접노무비 </t>
    </r>
    <r>
      <rPr>
        <sz val="9"/>
        <color rgb="FF666666"/>
        <rFont val="Arial"/>
        <family val="0"/>
        <charset val="1"/>
      </rPr>
      <t xml:space="preserve">× 3.97%</t>
    </r>
  </si>
  <si>
    <t xml:space="preserve">국민연금보험료</t>
  </si>
  <si>
    <r>
      <rPr>
        <sz val="9"/>
        <color rgb="FF666666"/>
        <rFont val="Noto Sans CJK SC"/>
        <family val="2"/>
      </rPr>
      <t xml:space="preserve">직접노무비 </t>
    </r>
    <r>
      <rPr>
        <sz val="9"/>
        <color rgb="FF666666"/>
        <rFont val="Arial"/>
        <family val="0"/>
        <charset val="1"/>
      </rPr>
      <t xml:space="preserve">× 4.5%</t>
    </r>
  </si>
  <si>
    <t xml:space="preserve">노인장기요양보험료</t>
  </si>
  <si>
    <r>
      <rPr>
        <sz val="9"/>
        <color rgb="FF666666"/>
        <rFont val="Noto Sans CJK SC"/>
        <family val="2"/>
      </rPr>
      <t xml:space="preserve">건강보험료 </t>
    </r>
    <r>
      <rPr>
        <sz val="9"/>
        <color rgb="FF666666"/>
        <rFont val="Arial"/>
        <family val="0"/>
        <charset val="1"/>
      </rPr>
      <t xml:space="preserve">× 12.95%</t>
    </r>
  </si>
  <si>
    <t xml:space="preserve">산업안전보건관리비</t>
  </si>
  <si>
    <r>
      <rPr>
        <sz val="9"/>
        <color rgb="FF666666"/>
        <rFont val="Arial"/>
        <family val="0"/>
        <charset val="1"/>
      </rPr>
      <t xml:space="preserve">(</t>
    </r>
    <r>
      <rPr>
        <sz val="9"/>
        <color rgb="FF666666"/>
        <rFont val="Noto Sans CJK SC"/>
        <family val="2"/>
      </rPr>
      <t xml:space="preserve">재료비</t>
    </r>
    <r>
      <rPr>
        <sz val="9"/>
        <color rgb="FF666666"/>
        <rFont val="Arial"/>
        <family val="0"/>
        <charset val="1"/>
      </rPr>
      <t xml:space="preserve">+</t>
    </r>
    <r>
      <rPr>
        <sz val="9"/>
        <color rgb="FF666666"/>
        <rFont val="Noto Sans CJK SC"/>
        <family val="2"/>
      </rPr>
      <t xml:space="preserve">직접노무비</t>
    </r>
    <r>
      <rPr>
        <sz val="9"/>
        <color rgb="FF666666"/>
        <rFont val="Arial"/>
        <family val="0"/>
        <charset val="1"/>
      </rPr>
      <t xml:space="preserve">) × 1.87%</t>
    </r>
  </si>
  <si>
    <t xml:space="preserve">기타경비</t>
  </si>
  <si>
    <r>
      <rPr>
        <sz val="9"/>
        <color rgb="FF666666"/>
        <rFont val="Arial"/>
        <family val="0"/>
        <charset val="1"/>
      </rPr>
      <t xml:space="preserve">(</t>
    </r>
    <r>
      <rPr>
        <sz val="9"/>
        <color rgb="FF666666"/>
        <rFont val="Noto Sans CJK SC"/>
        <family val="2"/>
      </rPr>
      <t xml:space="preserve">재료비</t>
    </r>
    <r>
      <rPr>
        <sz val="9"/>
        <color rgb="FF666666"/>
        <rFont val="Arial"/>
        <family val="0"/>
        <charset val="1"/>
      </rPr>
      <t xml:space="preserve">+</t>
    </r>
    <r>
      <rPr>
        <sz val="9"/>
        <color rgb="FF666666"/>
        <rFont val="Noto Sans CJK SC"/>
        <family val="2"/>
      </rPr>
      <t xml:space="preserve">노무비계</t>
    </r>
    <r>
      <rPr>
        <sz val="9"/>
        <color rgb="FF666666"/>
        <rFont val="Arial"/>
        <family val="0"/>
        <charset val="1"/>
      </rPr>
      <t xml:space="preserve">) × 5.8%</t>
    </r>
  </si>
  <si>
    <r>
      <rPr>
        <b val="true"/>
        <sz val="10"/>
        <rFont val="Arial"/>
        <family val="0"/>
        <charset val="1"/>
      </rPr>
      <t xml:space="preserve">[ </t>
    </r>
    <r>
      <rPr>
        <b val="true"/>
        <sz val="10"/>
        <rFont val="Noto Sans CJK SC"/>
        <family val="2"/>
      </rPr>
      <t xml:space="preserve">경비 계 </t>
    </r>
    <r>
      <rPr>
        <b val="true"/>
        <sz val="10"/>
        <rFont val="Arial"/>
        <family val="0"/>
        <charset val="1"/>
      </rPr>
      <t xml:space="preserve">]</t>
    </r>
  </si>
  <si>
    <r>
      <rPr>
        <b val="true"/>
        <sz val="10"/>
        <rFont val="Arial"/>
        <family val="0"/>
        <charset val="1"/>
      </rPr>
      <t xml:space="preserve">[ </t>
    </r>
    <r>
      <rPr>
        <b val="true"/>
        <sz val="10"/>
        <rFont val="Noto Sans CJK SC"/>
        <family val="2"/>
      </rPr>
      <t xml:space="preserve">순 원 가 </t>
    </r>
    <r>
      <rPr>
        <b val="true"/>
        <sz val="10"/>
        <rFont val="Arial"/>
        <family val="0"/>
        <charset val="1"/>
      </rPr>
      <t xml:space="preserve">]</t>
    </r>
  </si>
  <si>
    <t xml:space="preserve">일반관리비</t>
  </si>
  <si>
    <r>
      <rPr>
        <sz val="9"/>
        <color rgb="FF666666"/>
        <rFont val="Noto Sans CJK SC"/>
        <family val="2"/>
      </rPr>
      <t xml:space="preserve">순원가 </t>
    </r>
    <r>
      <rPr>
        <sz val="9"/>
        <color rgb="FF666666"/>
        <rFont val="Arial"/>
        <family val="0"/>
        <charset val="1"/>
      </rPr>
      <t xml:space="preserve">× 5%</t>
    </r>
  </si>
  <si>
    <t xml:space="preserve">이윤</t>
  </si>
  <si>
    <r>
      <rPr>
        <sz val="9"/>
        <color rgb="FF666666"/>
        <rFont val="Arial"/>
        <family val="0"/>
        <charset val="1"/>
      </rPr>
      <t xml:space="preserve">(</t>
    </r>
    <r>
      <rPr>
        <sz val="9"/>
        <color rgb="FF666666"/>
        <rFont val="Noto Sans CJK SC"/>
        <family val="2"/>
      </rPr>
      <t xml:space="preserve">노무비</t>
    </r>
    <r>
      <rPr>
        <sz val="9"/>
        <color rgb="FF666666"/>
        <rFont val="Arial"/>
        <family val="0"/>
        <charset val="1"/>
      </rPr>
      <t xml:space="preserve">+</t>
    </r>
    <r>
      <rPr>
        <sz val="9"/>
        <color rgb="FF666666"/>
        <rFont val="Noto Sans CJK SC"/>
        <family val="2"/>
      </rPr>
      <t xml:space="preserve">경비</t>
    </r>
    <r>
      <rPr>
        <sz val="9"/>
        <color rgb="FF666666"/>
        <rFont val="Arial"/>
        <family val="0"/>
        <charset val="1"/>
      </rPr>
      <t xml:space="preserve">+</t>
    </r>
    <r>
      <rPr>
        <sz val="9"/>
        <color rgb="FF666666"/>
        <rFont val="Noto Sans CJK SC"/>
        <family val="2"/>
      </rPr>
      <t xml:space="preserve">일반관리비</t>
    </r>
    <r>
      <rPr>
        <sz val="9"/>
        <color rgb="FF666666"/>
        <rFont val="Arial"/>
        <family val="0"/>
        <charset val="1"/>
      </rPr>
      <t xml:space="preserve">) × 9%</t>
    </r>
  </si>
  <si>
    <r>
      <rPr>
        <b val="true"/>
        <sz val="10"/>
        <rFont val="Arial"/>
        <family val="0"/>
        <charset val="1"/>
      </rPr>
      <t xml:space="preserve">[ </t>
    </r>
    <r>
      <rPr>
        <b val="true"/>
        <sz val="10"/>
        <rFont val="Noto Sans CJK SC"/>
        <family val="2"/>
      </rPr>
      <t xml:space="preserve">총 원 가 </t>
    </r>
    <r>
      <rPr>
        <b val="true"/>
        <sz val="10"/>
        <rFont val="Arial"/>
        <family val="0"/>
        <charset val="1"/>
      </rPr>
      <t xml:space="preserve">]</t>
    </r>
  </si>
  <si>
    <t xml:space="preserve">부가가치세</t>
  </si>
  <si>
    <r>
      <rPr>
        <sz val="9"/>
        <color rgb="FF666666"/>
        <rFont val="Noto Sans CJK SC"/>
        <family val="2"/>
      </rPr>
      <t xml:space="preserve">총원가 </t>
    </r>
    <r>
      <rPr>
        <sz val="9"/>
        <color rgb="FF666666"/>
        <rFont val="Arial"/>
        <family val="0"/>
        <charset val="1"/>
      </rPr>
      <t xml:space="preserve">× 10%</t>
    </r>
  </si>
  <si>
    <r>
      <rPr>
        <b val="true"/>
        <sz val="10"/>
        <rFont val="Arial"/>
        <family val="0"/>
        <charset val="1"/>
      </rPr>
      <t xml:space="preserve">[ </t>
    </r>
    <r>
      <rPr>
        <b val="true"/>
        <sz val="10"/>
        <rFont val="Noto Sans CJK SC"/>
        <family val="2"/>
      </rPr>
      <t xml:space="preserve">도 급 액 </t>
    </r>
    <r>
      <rPr>
        <b val="true"/>
        <sz val="10"/>
        <rFont val="Arial"/>
        <family val="0"/>
        <charset val="1"/>
      </rPr>
      <t xml:space="preserve">]</t>
    </r>
  </si>
  <si>
    <t xml:space="preserve">적용 제비율</t>
  </si>
  <si>
    <r>
      <rPr>
        <sz val="9"/>
        <color rgb="FF666666"/>
        <rFont val="Noto Sans CJK SC"/>
        <family val="2"/>
      </rPr>
      <t xml:space="preserve">조달청 원가계산 제비율 </t>
    </r>
    <r>
      <rPr>
        <sz val="9"/>
        <color rgb="FF666666"/>
        <rFont val="Arial"/>
        <family val="0"/>
        <charset val="1"/>
      </rPr>
      <t xml:space="preserve">(</t>
    </r>
    <r>
      <rPr>
        <sz val="9"/>
        <color rgb="FF666666"/>
        <rFont val="Noto Sans CJK SC"/>
        <family val="2"/>
      </rPr>
      <t xml:space="preserve">공사규모 </t>
    </r>
    <r>
      <rPr>
        <sz val="9"/>
        <color rgb="FF666666"/>
        <rFont val="Arial"/>
        <family val="0"/>
        <charset val="1"/>
      </rPr>
      <t xml:space="preserve">3</t>
    </r>
    <r>
      <rPr>
        <sz val="9"/>
        <color rgb="FF666666"/>
        <rFont val="Noto Sans CJK SC"/>
        <family val="2"/>
      </rPr>
      <t xml:space="preserve">억 미만 </t>
    </r>
    <r>
      <rPr>
        <sz val="9"/>
        <color rgb="FF666666"/>
        <rFont val="Arial"/>
        <family val="0"/>
        <charset val="1"/>
      </rPr>
      <t xml:space="preserve">/ </t>
    </r>
    <r>
      <rPr>
        <sz val="9"/>
        <color rgb="FF666666"/>
        <rFont val="Noto Sans CJK SC"/>
        <family val="2"/>
      </rPr>
      <t xml:space="preserve">공사기간 </t>
    </r>
    <r>
      <rPr>
        <sz val="9"/>
        <color rgb="FF666666"/>
        <rFont val="Arial"/>
        <family val="0"/>
        <charset val="1"/>
      </rPr>
      <t xml:space="preserve">7~12</t>
    </r>
    <r>
      <rPr>
        <sz val="9"/>
        <color rgb="FF666666"/>
        <rFont val="Noto Sans CJK SC"/>
        <family val="2"/>
      </rPr>
      <t xml:space="preserve">월</t>
    </r>
    <r>
      <rPr>
        <sz val="9"/>
        <color rgb="FF666666"/>
        <rFont val="Arial"/>
        <family val="0"/>
        <charset val="1"/>
      </rPr>
      <t xml:space="preserve">) </t>
    </r>
    <r>
      <rPr>
        <sz val="9"/>
        <color rgb="FF666666"/>
        <rFont val="Noto Sans CJK SC"/>
        <family val="2"/>
      </rPr>
      <t xml:space="preserve">기준</t>
    </r>
  </si>
  <si>
    <r>
      <rPr>
        <sz val="9"/>
        <color rgb="FF8E2F21"/>
        <rFont val="Noto Sans CJK SC"/>
        <family val="2"/>
      </rPr>
      <t xml:space="preserve">※ 값은 예시입니다</t>
    </r>
    <r>
      <rPr>
        <sz val="9"/>
        <color rgb="FF8E2F21"/>
        <rFont val="Arial"/>
        <family val="0"/>
        <charset val="1"/>
      </rPr>
      <t xml:space="preserve">. </t>
    </r>
    <r>
      <rPr>
        <sz val="9"/>
        <color rgb="FF8E2F21"/>
        <rFont val="Noto Sans CJK SC"/>
        <family val="2"/>
      </rPr>
      <t xml:space="preserve">실제 적용 시 조달청 최신본으로 대조하십시오</t>
    </r>
    <r>
      <rPr>
        <sz val="9"/>
        <color rgb="FF8E2F21"/>
        <rFont val="Arial"/>
        <family val="0"/>
        <charset val="1"/>
      </rPr>
      <t xml:space="preserve">. (AUD-015)</t>
    </r>
  </si>
  <si>
    <r>
      <rPr>
        <b val="true"/>
        <sz val="14"/>
        <rFont val="Arial"/>
        <family val="0"/>
        <charset val="1"/>
      </rPr>
      <t xml:space="preserve">OO</t>
    </r>
    <r>
      <rPr>
        <b val="true"/>
        <sz val="14"/>
        <rFont val="Noto Sans CJK SC"/>
        <family val="2"/>
      </rPr>
      <t xml:space="preserve">공항 여객터미널 </t>
    </r>
    <r>
      <rPr>
        <b val="true"/>
        <sz val="14"/>
        <rFont val="Arial"/>
        <family val="0"/>
        <charset val="1"/>
      </rPr>
      <t xml:space="preserve">CCTV </t>
    </r>
    <r>
      <rPr>
        <b val="true"/>
        <sz val="14"/>
        <rFont val="Noto Sans CJK SC"/>
        <family val="2"/>
      </rPr>
      <t xml:space="preserve">구매설치</t>
    </r>
  </si>
  <si>
    <t xml:space="preserve">공 종 별 내 역 서</t>
  </si>
  <si>
    <r>
      <rPr>
        <sz val="9"/>
        <color rgb="FF777777"/>
        <rFont val="Arial"/>
        <family val="0"/>
        <charset val="1"/>
      </rPr>
      <t xml:space="preserve">(</t>
    </r>
    <r>
      <rPr>
        <sz val="9"/>
        <color rgb="FF777777"/>
        <rFont val="Noto Sans CJK SC"/>
        <family val="2"/>
      </rPr>
      <t xml:space="preserve">단위</t>
    </r>
    <r>
      <rPr>
        <sz val="9"/>
        <color rgb="FF777777"/>
        <rFont val="Arial"/>
        <family val="0"/>
        <charset val="1"/>
      </rPr>
      <t xml:space="preserve">: </t>
    </r>
    <r>
      <rPr>
        <sz val="9"/>
        <color rgb="FF777777"/>
        <rFont val="Noto Sans CJK SC"/>
        <family val="2"/>
      </rPr>
      <t xml:space="preserve">원</t>
    </r>
    <r>
      <rPr>
        <sz val="9"/>
        <color rgb="FF777777"/>
        <rFont val="Arial"/>
        <family val="0"/>
        <charset val="1"/>
      </rPr>
      <t xml:space="preserve">, VAT </t>
    </r>
    <r>
      <rPr>
        <sz val="9"/>
        <color rgb="FF777777"/>
        <rFont val="Noto Sans CJK SC"/>
        <family val="2"/>
      </rPr>
      <t xml:space="preserve">별도</t>
    </r>
    <r>
      <rPr>
        <sz val="9"/>
        <color rgb="FF777777"/>
        <rFont val="Arial"/>
        <family val="0"/>
        <charset val="1"/>
      </rPr>
      <t xml:space="preserve">)</t>
    </r>
  </si>
  <si>
    <t xml:space="preserve">품    명</t>
  </si>
  <si>
    <t xml:space="preserve">규    격</t>
  </si>
  <si>
    <t xml:space="preserve">단위</t>
  </si>
  <si>
    <t xml:space="preserve">수량</t>
  </si>
  <si>
    <t xml:space="preserve">재 료 비</t>
  </si>
  <si>
    <t xml:space="preserve">노 무 비</t>
  </si>
  <si>
    <t xml:space="preserve">경    비</t>
  </si>
  <si>
    <t xml:space="preserve">합    계</t>
  </si>
  <si>
    <t xml:space="preserve">단가</t>
  </si>
  <si>
    <t xml:space="preserve">금액</t>
  </si>
  <si>
    <t xml:space="preserve">【 영상감시설비 】</t>
  </si>
  <si>
    <r>
      <rPr>
        <sz val="10"/>
        <rFont val="Noto Sans CJK SC"/>
        <family val="2"/>
      </rPr>
      <t xml:space="preserve">네트워크 카메라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고정형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</si>
  <si>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200</t>
    </r>
    <r>
      <rPr>
        <sz val="10"/>
        <rFont val="Noto Sans CJK SC"/>
        <family val="2"/>
      </rPr>
      <t xml:space="preserve">만화소 </t>
    </r>
    <r>
      <rPr>
        <sz val="10"/>
        <rFont val="Arial"/>
        <family val="0"/>
        <charset val="1"/>
      </rPr>
      <t xml:space="preserve">IP, </t>
    </r>
    <r>
      <rPr>
        <sz val="10"/>
        <rFont val="Noto Sans CJK SC"/>
        <family val="2"/>
      </rPr>
      <t xml:space="preserve">실외형 </t>
    </r>
    <r>
      <rPr>
        <sz val="10"/>
        <rFont val="Arial"/>
        <family val="0"/>
        <charset val="1"/>
      </rPr>
      <t xml:space="preserve">IP66</t>
    </r>
  </si>
  <si>
    <t xml:space="preserve">대</t>
  </si>
  <si>
    <r>
      <rPr>
        <sz val="10"/>
        <rFont val="Noto Sans CJK SC"/>
        <family val="2"/>
      </rPr>
      <t xml:space="preserve">네트워크 카메라</t>
    </r>
    <r>
      <rPr>
        <sz val="10"/>
        <rFont val="Arial"/>
        <family val="0"/>
        <charset val="1"/>
      </rPr>
      <t xml:space="preserve">(PTZ)</t>
    </r>
  </si>
  <si>
    <r>
      <rPr>
        <sz val="10"/>
        <rFont val="Arial"/>
        <family val="0"/>
        <charset val="1"/>
      </rPr>
      <t xml:space="preserve">200</t>
    </r>
    <r>
      <rPr>
        <sz val="10"/>
        <rFont val="Noto Sans CJK SC"/>
        <family val="2"/>
      </rPr>
      <t xml:space="preserve">만화소 </t>
    </r>
    <r>
      <rPr>
        <sz val="10"/>
        <rFont val="Arial"/>
        <family val="0"/>
        <charset val="1"/>
      </rPr>
      <t xml:space="preserve">IP, 32</t>
    </r>
    <r>
      <rPr>
        <sz val="10"/>
        <rFont val="Noto Sans CJK SC"/>
        <family val="2"/>
      </rPr>
      <t xml:space="preserve">배줌</t>
    </r>
  </si>
  <si>
    <t xml:space="preserve">영상저장장치</t>
  </si>
  <si>
    <t xml:space="preserve">32ch NVR, RAID5</t>
  </si>
  <si>
    <t xml:space="preserve">저장용 하드디스크</t>
  </si>
  <si>
    <r>
      <rPr>
        <sz val="10"/>
        <rFont val="Arial"/>
        <family val="0"/>
        <charset val="1"/>
      </rPr>
      <t xml:space="preserve">8TB SATA, </t>
    </r>
    <r>
      <rPr>
        <sz val="10"/>
        <rFont val="Noto Sans CJK SC"/>
        <family val="2"/>
      </rPr>
      <t xml:space="preserve">감시용</t>
    </r>
  </si>
  <si>
    <t xml:space="preserve">개</t>
  </si>
  <si>
    <t xml:space="preserve">통합관제 소프트웨어</t>
  </si>
  <si>
    <r>
      <rPr>
        <sz val="10"/>
        <rFont val="Arial"/>
        <family val="0"/>
        <charset val="1"/>
      </rPr>
      <t xml:space="preserve">VMS 64ch </t>
    </r>
    <r>
      <rPr>
        <sz val="10"/>
        <rFont val="Noto Sans CJK SC"/>
        <family val="2"/>
      </rPr>
      <t xml:space="preserve">라이선스</t>
    </r>
  </si>
  <si>
    <t xml:space="preserve">식</t>
  </si>
  <si>
    <t xml:space="preserve">카메라 브래킷</t>
  </si>
  <si>
    <t xml:space="preserve">벽부형 알루미늄</t>
  </si>
  <si>
    <t xml:space="preserve">카메라 폴</t>
  </si>
  <si>
    <r>
      <rPr>
        <sz val="10"/>
        <rFont val="Arial"/>
        <family val="0"/>
        <charset val="1"/>
      </rPr>
      <t xml:space="preserve">STK 3.0m, </t>
    </r>
    <r>
      <rPr>
        <sz val="10"/>
        <rFont val="Noto Sans CJK SC"/>
        <family val="2"/>
      </rPr>
      <t xml:space="preserve">용융아연도금</t>
    </r>
  </si>
  <si>
    <t xml:space="preserve">소      계</t>
  </si>
  <si>
    <t xml:space="preserve">【 배관배선공사 】</t>
  </si>
  <si>
    <t xml:space="preserve">후강전선관</t>
  </si>
  <si>
    <r>
      <rPr>
        <sz val="10"/>
        <rFont val="Arial"/>
        <family val="0"/>
        <charset val="1"/>
      </rPr>
      <t xml:space="preserve">22C, </t>
    </r>
    <r>
      <rPr>
        <sz val="10"/>
        <rFont val="Noto Sans CJK SC"/>
        <family val="2"/>
      </rPr>
      <t xml:space="preserve">아연도강관</t>
    </r>
  </si>
  <si>
    <t xml:space="preserve">m</t>
  </si>
  <si>
    <t xml:space="preserve">케이블 트레이</t>
  </si>
  <si>
    <r>
      <rPr>
        <sz val="10"/>
        <rFont val="Noto Sans CJK SC"/>
        <family val="2"/>
      </rPr>
      <t xml:space="preserve">와이어메쉬 </t>
    </r>
    <r>
      <rPr>
        <sz val="10"/>
        <rFont val="Arial"/>
        <family val="0"/>
        <charset val="1"/>
      </rPr>
      <t xml:space="preserve">100W</t>
    </r>
  </si>
  <si>
    <r>
      <rPr>
        <sz val="10"/>
        <rFont val="Arial"/>
        <family val="0"/>
        <charset val="1"/>
      </rPr>
      <t xml:space="preserve">UTP </t>
    </r>
    <r>
      <rPr>
        <sz val="10"/>
        <rFont val="Noto Sans CJK SC"/>
        <family val="2"/>
      </rPr>
      <t xml:space="preserve">케이블</t>
    </r>
  </si>
  <si>
    <t xml:space="preserve">Cat.6 UTP 4P</t>
  </si>
  <si>
    <t xml:space="preserve">광케이블</t>
  </si>
  <si>
    <r>
      <rPr>
        <sz val="10"/>
        <rFont val="Arial"/>
        <family val="0"/>
        <charset val="1"/>
      </rPr>
      <t xml:space="preserve">SM 12C, </t>
    </r>
    <r>
      <rPr>
        <sz val="10"/>
        <rFont val="Noto Sans CJK SC"/>
        <family val="2"/>
      </rPr>
      <t xml:space="preserve">옥외용</t>
    </r>
  </si>
  <si>
    <t xml:space="preserve">접지공사</t>
  </si>
  <si>
    <r>
      <rPr>
        <sz val="10"/>
        <rFont val="Noto Sans CJK SC"/>
        <family val="2"/>
      </rPr>
      <t xml:space="preserve">제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종 접지 </t>
    </r>
    <r>
      <rPr>
        <sz val="10"/>
        <rFont val="Arial"/>
        <family val="0"/>
        <charset val="1"/>
      </rPr>
      <t xml:space="preserve">100Ω </t>
    </r>
    <r>
      <rPr>
        <sz val="10"/>
        <rFont val="Noto Sans CJK SC"/>
        <family val="2"/>
      </rPr>
      <t xml:space="preserve">이하</t>
    </r>
  </si>
  <si>
    <t xml:space="preserve">개소</t>
  </si>
  <si>
    <t xml:space="preserve">【 부대공사 】</t>
  </si>
  <si>
    <t xml:space="preserve">고소작업차 사용</t>
  </si>
  <si>
    <r>
      <rPr>
        <sz val="10"/>
        <rFont val="Arial"/>
        <family val="0"/>
        <charset val="1"/>
      </rPr>
      <t xml:space="preserve">28m </t>
    </r>
    <r>
      <rPr>
        <sz val="10"/>
        <rFont val="Noto Sans CJK SC"/>
        <family val="2"/>
      </rPr>
      <t xml:space="preserve">스카이차</t>
    </r>
  </si>
  <si>
    <t xml:space="preserve">일</t>
  </si>
  <si>
    <t xml:space="preserve">시험 및 조정</t>
  </si>
  <si>
    <r>
      <rPr>
        <sz val="10"/>
        <rFont val="Noto Sans CJK SC"/>
        <family val="2"/>
      </rPr>
      <t xml:space="preserve">계통 시험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화각 조정</t>
    </r>
  </si>
  <si>
    <t xml:space="preserve">폐기물 처리</t>
  </si>
  <si>
    <t xml:space="preserve">기존 설비 철거분</t>
  </si>
  <si>
    <t xml:space="preserve">합      계</t>
  </si>
  <si>
    <t xml:space="preserve">수 량 산 출 서</t>
  </si>
  <si>
    <r>
      <rPr>
        <sz val="9"/>
        <color rgb="FF777777"/>
        <rFont val="Noto Sans CJK SC"/>
        <family val="2"/>
      </rPr>
      <t xml:space="preserve">※ 산출 근거를 명확히 기재할 것</t>
    </r>
    <r>
      <rPr>
        <sz val="9"/>
        <color rgb="FF777777"/>
        <rFont val="Arial"/>
        <family val="0"/>
        <charset val="1"/>
      </rPr>
      <t xml:space="preserve">. </t>
    </r>
    <r>
      <rPr>
        <sz val="9"/>
        <color rgb="FF777777"/>
        <rFont val="Noto Sans CJK SC"/>
        <family val="2"/>
      </rPr>
      <t xml:space="preserve">순서는 내역서와 일치시킬 것</t>
    </r>
    <r>
      <rPr>
        <sz val="9"/>
        <color rgb="FF777777"/>
        <rFont val="Arial"/>
        <family val="0"/>
        <charset val="1"/>
      </rPr>
      <t xml:space="preserve">.</t>
    </r>
  </si>
  <si>
    <t xml:space="preserve">연번</t>
  </si>
  <si>
    <r>
      <rPr>
        <sz val="10"/>
        <rFont val="Noto Sans CJK SC"/>
        <family val="2"/>
      </rPr>
      <t xml:space="preserve">여객터미널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층 </t>
    </r>
    <r>
      <rPr>
        <sz val="10"/>
        <rFont val="Arial"/>
        <family val="0"/>
        <charset val="1"/>
      </rPr>
      <t xml:space="preserve">8 + 2</t>
    </r>
    <r>
      <rPr>
        <sz val="10"/>
        <rFont val="Noto Sans CJK SC"/>
        <family val="2"/>
      </rPr>
      <t xml:space="preserve">층 </t>
    </r>
    <r>
      <rPr>
        <sz val="10"/>
        <rFont val="Arial"/>
        <family val="0"/>
        <charset val="1"/>
      </rPr>
      <t xml:space="preserve">6 + </t>
    </r>
    <r>
      <rPr>
        <sz val="10"/>
        <rFont val="Noto Sans CJK SC"/>
        <family val="2"/>
      </rPr>
      <t xml:space="preserve">주차장 </t>
    </r>
    <r>
      <rPr>
        <sz val="10"/>
        <rFont val="Arial"/>
        <family val="0"/>
        <charset val="1"/>
      </rPr>
      <t xml:space="preserve">4 = 18</t>
    </r>
    <r>
      <rPr>
        <sz val="10"/>
        <rFont val="Noto Sans CJK SC"/>
        <family val="2"/>
      </rPr>
      <t xml:space="preserve">대</t>
    </r>
  </si>
  <si>
    <r>
      <rPr>
        <sz val="10"/>
        <rFont val="Noto Sans CJK SC"/>
        <family val="2"/>
      </rPr>
      <t xml:space="preserve">출입구 </t>
    </r>
    <r>
      <rPr>
        <sz val="10"/>
        <rFont val="Arial"/>
        <family val="0"/>
        <charset val="1"/>
      </rPr>
      <t xml:space="preserve">4 + </t>
    </r>
    <r>
      <rPr>
        <sz val="10"/>
        <rFont val="Noto Sans CJK SC"/>
        <family val="2"/>
      </rPr>
      <t xml:space="preserve">계류장측 </t>
    </r>
    <r>
      <rPr>
        <sz val="10"/>
        <rFont val="Arial"/>
        <family val="0"/>
        <charset val="1"/>
      </rPr>
      <t xml:space="preserve">2 = 6</t>
    </r>
    <r>
      <rPr>
        <sz val="10"/>
        <rFont val="Noto Sans CJK SC"/>
        <family val="2"/>
      </rPr>
      <t xml:space="preserve">대</t>
    </r>
  </si>
  <si>
    <r>
      <rPr>
        <sz val="10"/>
        <rFont val="Arial"/>
        <family val="0"/>
        <charset val="1"/>
      </rPr>
      <t xml:space="preserve">36ch ÷ 32ch = 2</t>
    </r>
    <r>
      <rPr>
        <sz val="10"/>
        <rFont val="Noto Sans CJK SC"/>
        <family val="2"/>
      </rPr>
      <t xml:space="preserve">대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예비 채널 포함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</si>
  <si>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NVR 2</t>
    </r>
    <r>
      <rPr>
        <sz val="10"/>
        <rFont val="Noto Sans CJK SC"/>
        <family val="2"/>
      </rPr>
      <t xml:space="preserve">대 </t>
    </r>
    <r>
      <rPr>
        <sz val="10"/>
        <rFont val="Arial"/>
        <family val="0"/>
        <charset val="1"/>
      </rPr>
      <t xml:space="preserve">× 6bay = 12</t>
    </r>
    <r>
      <rPr>
        <sz val="10"/>
        <rFont val="Noto Sans CJK SC"/>
        <family val="2"/>
      </rPr>
      <t xml:space="preserve">개</t>
    </r>
  </si>
  <si>
    <r>
      <rPr>
        <sz val="10"/>
        <rFont val="Arial"/>
        <family val="0"/>
        <charset val="1"/>
      </rPr>
      <t xml:space="preserve">64ch </t>
    </r>
    <r>
      <rPr>
        <sz val="10"/>
        <rFont val="Noto Sans CJK SC"/>
        <family val="2"/>
      </rPr>
      <t xml:space="preserve">라이선스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식</t>
    </r>
  </si>
  <si>
    <r>
      <rPr>
        <sz val="10"/>
        <rFont val="Noto Sans CJK SC"/>
        <family val="2"/>
      </rPr>
      <t xml:space="preserve">고정형 카메라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대 </t>
    </r>
    <r>
      <rPr>
        <sz val="10"/>
        <rFont val="Arial"/>
        <family val="0"/>
        <charset val="1"/>
      </rPr>
      <t xml:space="preserve">× 1 = 18</t>
    </r>
    <r>
      <rPr>
        <sz val="10"/>
        <rFont val="Noto Sans CJK SC"/>
        <family val="2"/>
      </rPr>
      <t xml:space="preserve">개</t>
    </r>
  </si>
  <si>
    <r>
      <rPr>
        <sz val="10"/>
        <rFont val="Arial"/>
        <family val="0"/>
        <charset val="1"/>
      </rPr>
      <t xml:space="preserve">PTZ </t>
    </r>
    <r>
      <rPr>
        <sz val="10"/>
        <rFont val="Noto Sans CJK SC"/>
        <family val="2"/>
      </rPr>
      <t xml:space="preserve">카메라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대 </t>
    </r>
    <r>
      <rPr>
        <sz val="10"/>
        <rFont val="Arial"/>
        <family val="0"/>
        <charset val="1"/>
      </rPr>
      <t xml:space="preserve">× 1 = 6</t>
    </r>
    <r>
      <rPr>
        <sz val="10"/>
        <rFont val="Noto Sans CJK SC"/>
        <family val="2"/>
      </rPr>
      <t xml:space="preserve">개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</si>
  <si>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층 </t>
    </r>
    <r>
      <rPr>
        <sz val="10"/>
        <rFont val="Arial"/>
        <family val="0"/>
        <charset val="1"/>
      </rPr>
      <t xml:space="preserve">720 + 2</t>
    </r>
    <r>
      <rPr>
        <sz val="10"/>
        <rFont val="Noto Sans CJK SC"/>
        <family val="2"/>
      </rPr>
      <t xml:space="preserve">층 </t>
    </r>
    <r>
      <rPr>
        <sz val="10"/>
        <rFont val="Arial"/>
        <family val="0"/>
        <charset val="1"/>
      </rPr>
      <t xml:space="preserve">640 + </t>
    </r>
    <r>
      <rPr>
        <sz val="10"/>
        <rFont val="Noto Sans CJK SC"/>
        <family val="2"/>
      </rPr>
      <t xml:space="preserve">옥외 </t>
    </r>
    <r>
      <rPr>
        <sz val="10"/>
        <rFont val="Arial"/>
        <family val="0"/>
        <charset val="1"/>
      </rPr>
      <t xml:space="preserve">440 = 1,800m</t>
    </r>
  </si>
  <si>
    <r>
      <rPr>
        <sz val="10"/>
        <rFont val="Noto Sans CJK SC"/>
        <family val="2"/>
      </rPr>
      <t xml:space="preserve">주배선 간선 </t>
    </r>
    <r>
      <rPr>
        <sz val="10"/>
        <rFont val="Arial"/>
        <family val="0"/>
        <charset val="1"/>
      </rPr>
      <t xml:space="preserve">320m</t>
    </r>
  </si>
  <si>
    <r>
      <rPr>
        <sz val="10"/>
        <rFont val="Noto Sans CJK SC"/>
        <family val="2"/>
      </rPr>
      <t xml:space="preserve">카메라 </t>
    </r>
    <r>
      <rPr>
        <sz val="10"/>
        <rFont val="Arial"/>
        <family val="0"/>
        <charset val="1"/>
      </rPr>
      <t xml:space="preserve">24</t>
    </r>
    <r>
      <rPr>
        <sz val="10"/>
        <rFont val="Noto Sans CJK SC"/>
        <family val="2"/>
      </rPr>
      <t xml:space="preserve">대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100m = 2,400m</t>
    </r>
  </si>
  <si>
    <r>
      <rPr>
        <sz val="10"/>
        <rFont val="Noto Sans CJK SC"/>
        <family val="2"/>
      </rPr>
      <t xml:space="preserve">관제실 ↔ 층별 집선함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구간 </t>
    </r>
    <r>
      <rPr>
        <sz val="10"/>
        <rFont val="Arial"/>
        <family val="0"/>
        <charset val="1"/>
      </rPr>
      <t xml:space="preserve">× 200m = 600m</t>
    </r>
  </si>
  <si>
    <r>
      <rPr>
        <sz val="10"/>
        <rFont val="Noto Sans CJK SC"/>
        <family val="2"/>
      </rPr>
      <t xml:space="preserve">집선함 </t>
    </r>
    <r>
      <rPr>
        <sz val="10"/>
        <rFont val="Arial"/>
        <family val="0"/>
        <charset val="1"/>
      </rPr>
      <t xml:space="preserve">6 + NVR 2 + </t>
    </r>
    <r>
      <rPr>
        <sz val="10"/>
        <rFont val="Noto Sans CJK SC"/>
        <family val="2"/>
      </rPr>
      <t xml:space="preserve">폴 </t>
    </r>
    <r>
      <rPr>
        <sz val="10"/>
        <rFont val="Arial"/>
        <family val="0"/>
        <charset val="1"/>
      </rPr>
      <t xml:space="preserve">4 = 12</t>
    </r>
    <r>
      <rPr>
        <sz val="10"/>
        <rFont val="Noto Sans CJK SC"/>
        <family val="2"/>
      </rPr>
      <t xml:space="preserve">개소</t>
    </r>
  </si>
  <si>
    <r>
      <rPr>
        <sz val="10"/>
        <rFont val="Noto Sans CJK SC"/>
        <family val="2"/>
      </rPr>
      <t xml:space="preserve">옥외 설치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일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시험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일 </t>
    </r>
    <r>
      <rPr>
        <sz val="10"/>
        <rFont val="Arial"/>
        <family val="0"/>
        <charset val="1"/>
      </rPr>
      <t xml:space="preserve">= 14</t>
    </r>
    <r>
      <rPr>
        <sz val="10"/>
        <rFont val="Noto Sans CJK SC"/>
        <family val="2"/>
      </rPr>
      <t xml:space="preserve">일</t>
    </r>
  </si>
  <si>
    <r>
      <rPr>
        <sz val="10"/>
        <rFont val="Noto Sans CJK SC"/>
        <family val="2"/>
      </rPr>
      <t xml:space="preserve">전 계통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식</t>
    </r>
  </si>
  <si>
    <t xml:space="preserve">방수형 접속함</t>
  </si>
  <si>
    <t xml:space="preserve">IP66, 200×300</t>
  </si>
  <si>
    <r>
      <rPr>
        <sz val="10"/>
        <rFont val="Noto Sans CJK SC"/>
        <family val="2"/>
      </rPr>
      <t xml:space="preserve">층별 집선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개소 </t>
    </r>
    <r>
      <rPr>
        <sz val="10"/>
        <rFont val="Arial"/>
        <family val="0"/>
        <charset val="1"/>
      </rPr>
      <t xml:space="preserve">× 1 = 6</t>
    </r>
    <r>
      <rPr>
        <sz val="10"/>
        <rFont val="Noto Sans CJK SC"/>
        <family val="2"/>
      </rPr>
      <t xml:space="preserve">개</t>
    </r>
  </si>
  <si>
    <t xml:space="preserve">일 위 대 가 표</t>
  </si>
  <si>
    <t xml:space="preserve">※ 품셈에 없는 항목은 작업시간 기준 공량 산정 근거를 별도 첨부</t>
  </si>
  <si>
    <t xml:space="preserve">호별</t>
  </si>
  <si>
    <t xml:space="preserve">비고</t>
  </si>
  <si>
    <r>
      <rPr>
        <sz val="10"/>
        <rFont val="Noto Sans CJK SC"/>
        <family val="2"/>
      </rPr>
      <t xml:space="preserve">제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호</t>
    </r>
  </si>
  <si>
    <r>
      <rPr>
        <sz val="10"/>
        <rFont val="Noto Sans CJK SC"/>
        <family val="2"/>
      </rPr>
      <t xml:space="preserve">네트워크 카메라 설치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고정형</t>
    </r>
    <r>
      <rPr>
        <sz val="10"/>
        <rFont val="Arial"/>
        <family val="0"/>
        <charset val="1"/>
      </rPr>
      <t xml:space="preserve">)</t>
    </r>
  </si>
  <si>
    <t xml:space="preserve">대당</t>
  </si>
  <si>
    <t xml:space="preserve">정보통신기사</t>
  </si>
  <si>
    <t xml:space="preserve">인</t>
  </si>
  <si>
    <t xml:space="preserve">정보통신 표준품셈</t>
  </si>
  <si>
    <t xml:space="preserve">정보통신기능사</t>
  </si>
  <si>
    <t xml:space="preserve">공구손료</t>
  </si>
  <si>
    <r>
      <rPr>
        <sz val="10"/>
        <rFont val="Noto Sans CJK SC"/>
        <family val="2"/>
      </rPr>
      <t xml:space="preserve">인력품의 </t>
    </r>
    <r>
      <rPr>
        <sz val="10"/>
        <rFont val="Arial"/>
        <family val="0"/>
        <charset val="1"/>
      </rPr>
      <t xml:space="preserve">3%</t>
    </r>
  </si>
  <si>
    <t xml:space="preserve">계</t>
  </si>
  <si>
    <r>
      <rPr>
        <sz val="10"/>
        <rFont val="Noto Sans CJK SC"/>
        <family val="2"/>
      </rPr>
      <t xml:space="preserve">제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호</t>
    </r>
  </si>
  <si>
    <r>
      <rPr>
        <sz val="10"/>
        <rFont val="Noto Sans CJK SC"/>
        <family val="2"/>
      </rPr>
      <t xml:space="preserve">후강전선관 배관 </t>
    </r>
    <r>
      <rPr>
        <sz val="10"/>
        <rFont val="Arial"/>
        <family val="0"/>
        <charset val="1"/>
      </rPr>
      <t xml:space="preserve">(22C)</t>
    </r>
  </si>
  <si>
    <r>
      <rPr>
        <sz val="10"/>
        <rFont val="Arial"/>
        <family val="0"/>
        <charset val="1"/>
      </rPr>
      <t xml:space="preserve">m</t>
    </r>
    <r>
      <rPr>
        <sz val="10"/>
        <rFont val="Noto Sans CJK SC"/>
        <family val="2"/>
      </rPr>
      <t xml:space="preserve">당</t>
    </r>
  </si>
  <si>
    <t xml:space="preserve">노출 배관 기준</t>
  </si>
  <si>
    <t xml:space="preserve">보통인부</t>
  </si>
  <si>
    <t xml:space="preserve">잡재료비</t>
  </si>
  <si>
    <r>
      <rPr>
        <sz val="10"/>
        <rFont val="Noto Sans CJK SC"/>
        <family val="2"/>
      </rPr>
      <t xml:space="preserve">재료비의 </t>
    </r>
    <r>
      <rPr>
        <sz val="10"/>
        <rFont val="Arial"/>
        <family val="0"/>
        <charset val="1"/>
      </rPr>
      <t xml:space="preserve">3%</t>
    </r>
  </si>
  <si>
    <r>
      <rPr>
        <sz val="10"/>
        <rFont val="Noto Sans CJK SC"/>
        <family val="2"/>
      </rPr>
      <t xml:space="preserve">제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호</t>
    </r>
  </si>
  <si>
    <r>
      <rPr>
        <sz val="10"/>
        <rFont val="Arial"/>
        <family val="0"/>
        <charset val="1"/>
      </rPr>
      <t xml:space="preserve">UTP </t>
    </r>
    <r>
      <rPr>
        <sz val="10"/>
        <rFont val="Noto Sans CJK SC"/>
        <family val="2"/>
      </rPr>
      <t xml:space="preserve">케이블 포설 </t>
    </r>
    <r>
      <rPr>
        <sz val="10"/>
        <rFont val="Arial"/>
        <family val="0"/>
        <charset val="1"/>
      </rPr>
      <t xml:space="preserve">(Cat.6)</t>
    </r>
  </si>
  <si>
    <t xml:space="preserve">관내 포설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</si>
</sst>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###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  <font>
      <sz val="9"/>
      <color rgb="FF777777"/>
      <name val="Noto Sans CJK SC"/>
      <family val="2"/>
    </font>
    <font>
      <sz val="9"/>
      <color rgb="FF777777"/>
      <name val="Arial"/>
      <family val="0"/>
      <charset val="1"/>
    </font>
    <font>
      <b val="true"/>
      <sz val="10"/>
      <name val="Noto Sans CJK SC"/>
      <family val="2"/>
    </font>
    <font>
      <sz val="9"/>
      <color rgb="FF666666"/>
      <name val="Noto Sans CJK SC"/>
      <family val="2"/>
    </font>
    <font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8E2F21"/>
      <name val="Noto Sans CJK SC"/>
      <family val="2"/>
    </font>
    <font>
      <sz val="9"/>
      <color rgb="FF8E2F21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4"/>
      <name val="Noto Sans CJK SC"/>
      <family val="2"/>
    </font>
    <font>
      <sz val="11"/>
      <name val="Noto Sans CJK SC"/>
      <family val="2"/>
    </font>
    <font>
      <b val="true"/>
      <sz val="11"/>
      <name val="Noto Sans CJK SC"/>
      <family val="2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CE6EF"/>
        <bgColor rgb="FFF2F5F8"/>
      </patternFill>
    </fill>
    <fill>
      <patternFill patternType="solid">
        <fgColor rgb="FFF2F5F8"/>
        <bgColor rgb="FFDCE6E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9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5F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77777"/>
      <rgbColor rgb="FF9999FF"/>
      <rgbColor rgb="FF993366"/>
      <rgbColor rgb="FFFFFFCC"/>
      <rgbColor rgb="FFDC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AAAAAA"/>
      <rgbColor rgb="FF003366"/>
      <rgbColor rgb="FF339966"/>
      <rgbColor rgb="FF003300"/>
      <rgbColor rgb="FF333300"/>
      <rgbColor rgb="FF8E2F21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3" min="3" style="0" width="46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</row>
    <row r="6" customFormat="false" ht="15" hidden="false" customHeight="false" outlineLevel="0" collapsed="false">
      <c r="A6" s="5" t="s">
        <v>6</v>
      </c>
      <c r="B6" s="6" t="n">
        <f aca="false">내역서!F31</f>
        <v>138500000</v>
      </c>
      <c r="C6" s="7" t="s">
        <v>7</v>
      </c>
    </row>
    <row r="7" customFormat="false" ht="15" hidden="false" customHeight="false" outlineLevel="0" collapsed="false">
      <c r="A7" s="5" t="s">
        <v>8</v>
      </c>
      <c r="B7" s="6" t="n">
        <f aca="false">내역서!H31</f>
        <v>41200000</v>
      </c>
      <c r="C7" s="7" t="s">
        <v>9</v>
      </c>
    </row>
    <row r="8" customFormat="false" ht="15" hidden="false" customHeight="false" outlineLevel="0" collapsed="false">
      <c r="A8" s="5" t="s">
        <v>10</v>
      </c>
      <c r="B8" s="6" t="n">
        <f aca="false">ROUND(B7*0.101,0)</f>
        <v>4161200</v>
      </c>
      <c r="C8" s="7" t="s">
        <v>11</v>
      </c>
    </row>
    <row r="9" customFormat="false" ht="15" hidden="false" customHeight="false" outlineLevel="0" collapsed="false">
      <c r="A9" s="8" t="s">
        <v>12</v>
      </c>
      <c r="B9" s="9" t="n">
        <f aca="false">B7+B8</f>
        <v>45361200</v>
      </c>
      <c r="C9" s="10"/>
    </row>
    <row r="10" customFormat="false" ht="15" hidden="false" customHeight="false" outlineLevel="0" collapsed="false">
      <c r="A10" s="5" t="s">
        <v>13</v>
      </c>
      <c r="B10" s="6" t="n">
        <f aca="false">내역서!J31</f>
        <v>7500000</v>
      </c>
      <c r="C10" s="7" t="s">
        <v>14</v>
      </c>
    </row>
    <row r="11" customFormat="false" ht="15" hidden="false" customHeight="false" outlineLevel="0" collapsed="false">
      <c r="A11" s="5" t="s">
        <v>15</v>
      </c>
      <c r="B11" s="6" t="n">
        <f aca="false">ROUND(B9*0.0389,0)</f>
        <v>1764551</v>
      </c>
      <c r="C11" s="7" t="s">
        <v>16</v>
      </c>
    </row>
    <row r="12" customFormat="false" ht="15" hidden="false" customHeight="false" outlineLevel="0" collapsed="false">
      <c r="A12" s="5" t="s">
        <v>17</v>
      </c>
      <c r="B12" s="6" t="n">
        <f aca="false">ROUND(B9*0.0087,0)</f>
        <v>394642</v>
      </c>
      <c r="C12" s="7" t="s">
        <v>18</v>
      </c>
    </row>
    <row r="13" customFormat="false" ht="15" hidden="false" customHeight="false" outlineLevel="0" collapsed="false">
      <c r="A13" s="5" t="s">
        <v>19</v>
      </c>
      <c r="B13" s="6" t="n">
        <f aca="false">ROUND(B7*0.0397,0)</f>
        <v>1635640</v>
      </c>
      <c r="C13" s="7" t="s">
        <v>20</v>
      </c>
    </row>
    <row r="14" customFormat="false" ht="15" hidden="false" customHeight="false" outlineLevel="0" collapsed="false">
      <c r="A14" s="5" t="s">
        <v>21</v>
      </c>
      <c r="B14" s="6" t="n">
        <f aca="false">ROUND(B7*0.045,0)</f>
        <v>1854000</v>
      </c>
      <c r="C14" s="7" t="s">
        <v>22</v>
      </c>
    </row>
    <row r="15" customFormat="false" ht="15" hidden="false" customHeight="false" outlineLevel="0" collapsed="false">
      <c r="A15" s="5" t="s">
        <v>23</v>
      </c>
      <c r="B15" s="6" t="n">
        <f aca="false">ROUND(B13*0.1295,0)</f>
        <v>211815</v>
      </c>
      <c r="C15" s="7" t="s">
        <v>24</v>
      </c>
    </row>
    <row r="16" customFormat="false" ht="15" hidden="false" customHeight="false" outlineLevel="0" collapsed="false">
      <c r="A16" s="5" t="s">
        <v>25</v>
      </c>
      <c r="B16" s="6" t="n">
        <f aca="false">ROUND((B6+B7)*0.0187,0)</f>
        <v>3360390</v>
      </c>
      <c r="C16" s="11" t="s">
        <v>26</v>
      </c>
    </row>
    <row r="17" customFormat="false" ht="15" hidden="false" customHeight="false" outlineLevel="0" collapsed="false">
      <c r="A17" s="5" t="s">
        <v>27</v>
      </c>
      <c r="B17" s="6" t="n">
        <f aca="false">ROUND((B6+B9)*0.058,0)</f>
        <v>10663950</v>
      </c>
      <c r="C17" s="11" t="s">
        <v>28</v>
      </c>
    </row>
    <row r="18" customFormat="false" ht="15" hidden="false" customHeight="false" outlineLevel="0" collapsed="false">
      <c r="A18" s="8" t="s">
        <v>29</v>
      </c>
      <c r="B18" s="9" t="n">
        <f aca="false">SUM(B10:B17)</f>
        <v>27384988</v>
      </c>
      <c r="C18" s="10"/>
    </row>
    <row r="19" customFormat="false" ht="15" hidden="false" customHeight="false" outlineLevel="0" collapsed="false">
      <c r="A19" s="8" t="s">
        <v>30</v>
      </c>
      <c r="B19" s="9" t="n">
        <f aca="false">B6+B9+B18</f>
        <v>211246188</v>
      </c>
      <c r="C19" s="10"/>
    </row>
    <row r="20" customFormat="false" ht="15" hidden="false" customHeight="false" outlineLevel="0" collapsed="false">
      <c r="A20" s="5" t="s">
        <v>31</v>
      </c>
      <c r="B20" s="6" t="n">
        <f aca="false">ROUND(B19*0.05,0)</f>
        <v>10562309</v>
      </c>
      <c r="C20" s="7" t="s">
        <v>32</v>
      </c>
    </row>
    <row r="21" customFormat="false" ht="15" hidden="false" customHeight="false" outlineLevel="0" collapsed="false">
      <c r="A21" s="5" t="s">
        <v>33</v>
      </c>
      <c r="B21" s="6" t="n">
        <f aca="false">ROUND((B9+B18+B20)*0.09,0)</f>
        <v>7497765</v>
      </c>
      <c r="C21" s="11" t="s">
        <v>34</v>
      </c>
    </row>
    <row r="22" customFormat="false" ht="15" hidden="false" customHeight="false" outlineLevel="0" collapsed="false">
      <c r="A22" s="8" t="s">
        <v>35</v>
      </c>
      <c r="B22" s="9" t="n">
        <f aca="false">B19+B20+B21</f>
        <v>229306262</v>
      </c>
      <c r="C22" s="10"/>
    </row>
    <row r="23" customFormat="false" ht="15" hidden="false" customHeight="false" outlineLevel="0" collapsed="false">
      <c r="A23" s="5" t="s">
        <v>36</v>
      </c>
      <c r="B23" s="6" t="n">
        <f aca="false">ROUND(B22*0.1,0)</f>
        <v>22930626</v>
      </c>
      <c r="C23" s="7" t="s">
        <v>37</v>
      </c>
    </row>
    <row r="24" customFormat="false" ht="15" hidden="false" customHeight="false" outlineLevel="0" collapsed="false">
      <c r="A24" s="8" t="s">
        <v>38</v>
      </c>
      <c r="B24" s="9" t="n">
        <f aca="false">B22+B23</f>
        <v>252236888</v>
      </c>
      <c r="C24" s="10"/>
    </row>
    <row r="26" customFormat="false" ht="15" hidden="false" customHeight="false" outlineLevel="0" collapsed="false">
      <c r="A26" s="12" t="s">
        <v>39</v>
      </c>
    </row>
    <row r="27" customFormat="false" ht="15" hidden="false" customHeight="false" outlineLevel="0" collapsed="false">
      <c r="A27" s="13" t="s">
        <v>40</v>
      </c>
    </row>
    <row r="28" customFormat="false" ht="15" hidden="false" customHeight="false" outlineLevel="0" collapsed="false">
      <c r="A28" s="14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3" min="3" style="0" width="7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16"/>
  </cols>
  <sheetData>
    <row r="1" customFormat="false" ht="21.6" hidden="false" customHeight="false" outlineLevel="0" collapsed="false">
      <c r="A1" s="15" t="s">
        <v>42</v>
      </c>
    </row>
    <row r="2" customFormat="false" ht="15" hidden="false" customHeight="false" outlineLevel="0" collapsed="false">
      <c r="A2" s="16" t="s">
        <v>43</v>
      </c>
    </row>
    <row r="3" customFormat="false" ht="15" hidden="false" customHeight="false" outlineLevel="0" collapsed="false">
      <c r="A3" s="17" t="s">
        <v>44</v>
      </c>
    </row>
    <row r="5" customFormat="false" ht="15" hidden="false" customHeight="false" outlineLevel="0" collapsed="false">
      <c r="A5" s="4" t="s">
        <v>45</v>
      </c>
      <c r="B5" s="4" t="s">
        <v>46</v>
      </c>
      <c r="C5" s="4" t="s">
        <v>47</v>
      </c>
      <c r="D5" s="4" t="s">
        <v>48</v>
      </c>
      <c r="E5" s="4" t="s">
        <v>49</v>
      </c>
      <c r="F5" s="4"/>
      <c r="G5" s="4" t="s">
        <v>50</v>
      </c>
      <c r="H5" s="4"/>
      <c r="I5" s="4" t="s">
        <v>51</v>
      </c>
      <c r="J5" s="4"/>
      <c r="K5" s="4" t="s">
        <v>52</v>
      </c>
    </row>
    <row r="6" customFormat="false" ht="15" hidden="false" customHeight="false" outlineLevel="0" collapsed="false">
      <c r="A6" s="4"/>
      <c r="B6" s="4"/>
      <c r="C6" s="4"/>
      <c r="D6" s="4"/>
      <c r="E6" s="4" t="s">
        <v>53</v>
      </c>
      <c r="F6" s="4" t="s">
        <v>54</v>
      </c>
      <c r="G6" s="4" t="s">
        <v>53</v>
      </c>
      <c r="H6" s="4" t="s">
        <v>54</v>
      </c>
      <c r="I6" s="4" t="s">
        <v>53</v>
      </c>
      <c r="J6" s="4" t="s">
        <v>54</v>
      </c>
      <c r="K6" s="4"/>
    </row>
    <row r="7" customFormat="false" ht="15" hidden="false" customHeight="false" outlineLevel="0" collapsed="false">
      <c r="A7" s="18" t="s">
        <v>55</v>
      </c>
      <c r="B7" s="18"/>
      <c r="C7" s="19"/>
      <c r="D7" s="20"/>
      <c r="E7" s="21"/>
      <c r="F7" s="21"/>
      <c r="G7" s="21"/>
      <c r="H7" s="21"/>
      <c r="I7" s="21"/>
      <c r="J7" s="21"/>
      <c r="K7" s="21"/>
    </row>
    <row r="8" customFormat="false" ht="15" hidden="false" customHeight="false" outlineLevel="0" collapsed="false">
      <c r="A8" s="22" t="s">
        <v>56</v>
      </c>
      <c r="B8" s="23" t="s">
        <v>57</v>
      </c>
      <c r="C8" s="24" t="s">
        <v>58</v>
      </c>
      <c r="D8" s="25" t="n">
        <v>18</v>
      </c>
      <c r="E8" s="6" t="n">
        <v>1250000</v>
      </c>
      <c r="F8" s="6" t="n">
        <f aca="false">D8*E8</f>
        <v>22500000</v>
      </c>
      <c r="G8" s="6" t="n">
        <v>180000</v>
      </c>
      <c r="H8" s="6" t="n">
        <f aca="false">D8*G8</f>
        <v>3240000</v>
      </c>
      <c r="I8" s="6" t="n">
        <v>0</v>
      </c>
      <c r="J8" s="6" t="n">
        <f aca="false">D8*I8</f>
        <v>0</v>
      </c>
      <c r="K8" s="6" t="n">
        <f aca="false">F8+H8+J8</f>
        <v>25740000</v>
      </c>
    </row>
    <row r="9" customFormat="false" ht="15" hidden="false" customHeight="false" outlineLevel="0" collapsed="false">
      <c r="A9" s="22" t="s">
        <v>59</v>
      </c>
      <c r="B9" s="23" t="s">
        <v>60</v>
      </c>
      <c r="C9" s="24" t="s">
        <v>58</v>
      </c>
      <c r="D9" s="25" t="n">
        <v>6</v>
      </c>
      <c r="E9" s="6" t="n">
        <v>3150000</v>
      </c>
      <c r="F9" s="6" t="n">
        <f aca="false">D9*E9</f>
        <v>18900000</v>
      </c>
      <c r="G9" s="6" t="n">
        <v>240000</v>
      </c>
      <c r="H9" s="6" t="n">
        <f aca="false">D9*G9</f>
        <v>1440000</v>
      </c>
      <c r="I9" s="6" t="n">
        <v>0</v>
      </c>
      <c r="J9" s="6" t="n">
        <f aca="false">D9*I9</f>
        <v>0</v>
      </c>
      <c r="K9" s="6" t="n">
        <f aca="false">F9+H9+J9</f>
        <v>20340000</v>
      </c>
    </row>
    <row r="10" customFormat="false" ht="15" hidden="false" customHeight="false" outlineLevel="0" collapsed="false">
      <c r="A10" s="22" t="s">
        <v>61</v>
      </c>
      <c r="B10" s="23" t="s">
        <v>62</v>
      </c>
      <c r="C10" s="24" t="s">
        <v>58</v>
      </c>
      <c r="D10" s="25" t="n">
        <v>2</v>
      </c>
      <c r="E10" s="6" t="n">
        <v>8400000</v>
      </c>
      <c r="F10" s="6" t="n">
        <f aca="false">D10*E10</f>
        <v>16800000</v>
      </c>
      <c r="G10" s="6" t="n">
        <v>420000</v>
      </c>
      <c r="H10" s="6" t="n">
        <f aca="false">D10*G10</f>
        <v>840000</v>
      </c>
      <c r="I10" s="6" t="n">
        <v>0</v>
      </c>
      <c r="J10" s="6" t="n">
        <f aca="false">D10*I10</f>
        <v>0</v>
      </c>
      <c r="K10" s="6" t="n">
        <f aca="false">F10+H10+J10</f>
        <v>17640000</v>
      </c>
    </row>
    <row r="11" customFormat="false" ht="15" hidden="false" customHeight="false" outlineLevel="0" collapsed="false">
      <c r="A11" s="22" t="s">
        <v>63</v>
      </c>
      <c r="B11" s="23" t="s">
        <v>64</v>
      </c>
      <c r="C11" s="24" t="s">
        <v>65</v>
      </c>
      <c r="D11" s="25" t="n">
        <v>12</v>
      </c>
      <c r="E11" s="6" t="n">
        <v>310000</v>
      </c>
      <c r="F11" s="6" t="n">
        <f aca="false">D11*E11</f>
        <v>3720000</v>
      </c>
      <c r="G11" s="6" t="n">
        <v>35000</v>
      </c>
      <c r="H11" s="6" t="n">
        <f aca="false">D11*G11</f>
        <v>420000</v>
      </c>
      <c r="I11" s="6" t="n">
        <v>0</v>
      </c>
      <c r="J11" s="6" t="n">
        <f aca="false">D11*I11</f>
        <v>0</v>
      </c>
      <c r="K11" s="6" t="n">
        <f aca="false">F11+H11+J11</f>
        <v>4140000</v>
      </c>
    </row>
    <row r="12" customFormat="false" ht="15" hidden="false" customHeight="false" outlineLevel="0" collapsed="false">
      <c r="A12" s="22" t="s">
        <v>66</v>
      </c>
      <c r="B12" s="23" t="s">
        <v>67</v>
      </c>
      <c r="C12" s="24" t="s">
        <v>68</v>
      </c>
      <c r="D12" s="25" t="n">
        <v>1</v>
      </c>
      <c r="E12" s="6" t="n">
        <v>12000000</v>
      </c>
      <c r="F12" s="6" t="n">
        <f aca="false">D12*E12</f>
        <v>12000000</v>
      </c>
      <c r="G12" s="6" t="n">
        <v>1800000</v>
      </c>
      <c r="H12" s="6" t="n">
        <f aca="false">D12*G12</f>
        <v>1800000</v>
      </c>
      <c r="I12" s="6" t="n">
        <v>0</v>
      </c>
      <c r="J12" s="6" t="n">
        <f aca="false">D12*I12</f>
        <v>0</v>
      </c>
      <c r="K12" s="6" t="n">
        <f aca="false">F12+H12+J12</f>
        <v>13800000</v>
      </c>
    </row>
    <row r="13" customFormat="false" ht="15" hidden="false" customHeight="false" outlineLevel="0" collapsed="false">
      <c r="A13" s="22" t="s">
        <v>69</v>
      </c>
      <c r="B13" s="22" t="s">
        <v>70</v>
      </c>
      <c r="C13" s="24" t="s">
        <v>65</v>
      </c>
      <c r="D13" s="25" t="n">
        <v>18</v>
      </c>
      <c r="E13" s="6" t="n">
        <v>45000</v>
      </c>
      <c r="F13" s="6" t="n">
        <f aca="false">D13*E13</f>
        <v>810000</v>
      </c>
      <c r="G13" s="6" t="n">
        <v>32000</v>
      </c>
      <c r="H13" s="6" t="n">
        <f aca="false">D13*G13</f>
        <v>576000</v>
      </c>
      <c r="I13" s="6" t="n">
        <v>0</v>
      </c>
      <c r="J13" s="6" t="n">
        <f aca="false">D13*I13</f>
        <v>0</v>
      </c>
      <c r="K13" s="6" t="n">
        <f aca="false">F13+H13+J13</f>
        <v>1386000</v>
      </c>
    </row>
    <row r="14" customFormat="false" ht="15" hidden="false" customHeight="false" outlineLevel="0" collapsed="false">
      <c r="A14" s="22" t="s">
        <v>71</v>
      </c>
      <c r="B14" s="23" t="s">
        <v>72</v>
      </c>
      <c r="C14" s="24" t="s">
        <v>65</v>
      </c>
      <c r="D14" s="25" t="n">
        <v>6</v>
      </c>
      <c r="E14" s="6" t="n">
        <v>420000</v>
      </c>
      <c r="F14" s="6" t="n">
        <f aca="false">D14*E14</f>
        <v>2520000</v>
      </c>
      <c r="G14" s="6" t="n">
        <v>165000</v>
      </c>
      <c r="H14" s="6" t="n">
        <f aca="false">D14*G14</f>
        <v>990000</v>
      </c>
      <c r="I14" s="6" t="n">
        <v>0</v>
      </c>
      <c r="J14" s="6" t="n">
        <f aca="false">D14*I14</f>
        <v>0</v>
      </c>
      <c r="K14" s="6" t="n">
        <f aca="false">F14+H14+J14</f>
        <v>3510000</v>
      </c>
    </row>
    <row r="15" customFormat="false" ht="15" hidden="false" customHeight="false" outlineLevel="0" collapsed="false">
      <c r="A15" s="26" t="s">
        <v>73</v>
      </c>
      <c r="B15" s="26"/>
      <c r="C15" s="27"/>
      <c r="D15" s="28"/>
      <c r="E15" s="9"/>
      <c r="F15" s="9" t="n">
        <f aca="false">SUM(F8:F14)</f>
        <v>77250000</v>
      </c>
      <c r="G15" s="9"/>
      <c r="H15" s="9" t="n">
        <f aca="false">SUM(H8:H14)</f>
        <v>9306000</v>
      </c>
      <c r="I15" s="9"/>
      <c r="J15" s="9" t="n">
        <f aca="false">SUM(J8:J14)</f>
        <v>0</v>
      </c>
      <c r="K15" s="9" t="n">
        <f aca="false">SUM(K8:K14)</f>
        <v>86556000</v>
      </c>
    </row>
    <row r="16" customFormat="false" ht="15" hidden="false" customHeight="false" outlineLevel="0" collapsed="false">
      <c r="A16" s="22"/>
      <c r="B16" s="22"/>
      <c r="C16" s="24"/>
      <c r="D16" s="25"/>
      <c r="E16" s="6"/>
      <c r="F16" s="6"/>
      <c r="G16" s="6"/>
      <c r="H16" s="6"/>
      <c r="I16" s="6"/>
      <c r="J16" s="6"/>
      <c r="K16" s="6"/>
    </row>
    <row r="17" customFormat="false" ht="15" hidden="false" customHeight="false" outlineLevel="0" collapsed="false">
      <c r="A17" s="18" t="s">
        <v>74</v>
      </c>
      <c r="B17" s="18"/>
      <c r="C17" s="19"/>
      <c r="D17" s="20"/>
      <c r="E17" s="21"/>
      <c r="F17" s="21"/>
      <c r="G17" s="21"/>
      <c r="H17" s="21"/>
      <c r="I17" s="21"/>
      <c r="J17" s="21"/>
      <c r="K17" s="21"/>
    </row>
    <row r="18" customFormat="false" ht="15" hidden="false" customHeight="false" outlineLevel="0" collapsed="false">
      <c r="A18" s="22" t="s">
        <v>75</v>
      </c>
      <c r="B18" s="23" t="s">
        <v>76</v>
      </c>
      <c r="C18" s="29" t="s">
        <v>77</v>
      </c>
      <c r="D18" s="25" t="n">
        <v>1800</v>
      </c>
      <c r="E18" s="6" t="n">
        <v>3200</v>
      </c>
      <c r="F18" s="6" t="n">
        <f aca="false">D18*E18</f>
        <v>5760000</v>
      </c>
      <c r="G18" s="6" t="n">
        <v>4100</v>
      </c>
      <c r="H18" s="6" t="n">
        <f aca="false">D18*G18</f>
        <v>7380000</v>
      </c>
      <c r="I18" s="6" t="n">
        <v>0</v>
      </c>
      <c r="J18" s="6" t="n">
        <f aca="false">D18*I18</f>
        <v>0</v>
      </c>
      <c r="K18" s="6" t="n">
        <f aca="false">F18+H18+J18</f>
        <v>13140000</v>
      </c>
    </row>
    <row r="19" customFormat="false" ht="15" hidden="false" customHeight="false" outlineLevel="0" collapsed="false">
      <c r="A19" s="22" t="s">
        <v>78</v>
      </c>
      <c r="B19" s="22" t="s">
        <v>79</v>
      </c>
      <c r="C19" s="29" t="s">
        <v>77</v>
      </c>
      <c r="D19" s="25" t="n">
        <v>320</v>
      </c>
      <c r="E19" s="6" t="n">
        <v>11000</v>
      </c>
      <c r="F19" s="6" t="n">
        <f aca="false">D19*E19</f>
        <v>3520000</v>
      </c>
      <c r="G19" s="6" t="n">
        <v>9500</v>
      </c>
      <c r="H19" s="6" t="n">
        <f aca="false">D19*G19</f>
        <v>3040000</v>
      </c>
      <c r="I19" s="6" t="n">
        <v>0</v>
      </c>
      <c r="J19" s="6" t="n">
        <f aca="false">D19*I19</f>
        <v>0</v>
      </c>
      <c r="K19" s="6" t="n">
        <f aca="false">F19+H19+J19</f>
        <v>6560000</v>
      </c>
    </row>
    <row r="20" customFormat="false" ht="15" hidden="false" customHeight="false" outlineLevel="0" collapsed="false">
      <c r="A20" s="23" t="s">
        <v>80</v>
      </c>
      <c r="B20" s="23" t="s">
        <v>81</v>
      </c>
      <c r="C20" s="29" t="s">
        <v>77</v>
      </c>
      <c r="D20" s="25" t="n">
        <v>2400</v>
      </c>
      <c r="E20" s="6" t="n">
        <v>900</v>
      </c>
      <c r="F20" s="6" t="n">
        <v>2400000</v>
      </c>
      <c r="G20" s="6" t="n">
        <v>1100</v>
      </c>
      <c r="H20" s="6" t="n">
        <f aca="false">D20*G20</f>
        <v>2640000</v>
      </c>
      <c r="I20" s="6" t="n">
        <v>0</v>
      </c>
      <c r="J20" s="6" t="n">
        <f aca="false">D20*I20</f>
        <v>0</v>
      </c>
      <c r="K20" s="6" t="n">
        <f aca="false">F20+H20+J20</f>
        <v>5040000</v>
      </c>
    </row>
    <row r="21" customFormat="false" ht="15" hidden="false" customHeight="false" outlineLevel="0" collapsed="false">
      <c r="A21" s="22" t="s">
        <v>82</v>
      </c>
      <c r="B21" s="23" t="s">
        <v>83</v>
      </c>
      <c r="C21" s="29" t="s">
        <v>77</v>
      </c>
      <c r="D21" s="25" t="n">
        <v>600</v>
      </c>
      <c r="E21" s="6" t="n">
        <v>2400</v>
      </c>
      <c r="F21" s="6" t="n">
        <f aca="false">D21*E21</f>
        <v>1440000</v>
      </c>
      <c r="G21" s="6" t="n">
        <v>1800</v>
      </c>
      <c r="H21" s="6" t="n">
        <f aca="false">D21*G21</f>
        <v>1080000</v>
      </c>
      <c r="I21" s="6" t="n">
        <v>0</v>
      </c>
      <c r="J21" s="6" t="n">
        <f aca="false">D21*I21</f>
        <v>0</v>
      </c>
      <c r="K21" s="6" t="n">
        <f aca="false">F21+H21+J21</f>
        <v>2520000</v>
      </c>
    </row>
    <row r="22" customFormat="false" ht="15" hidden="false" customHeight="false" outlineLevel="0" collapsed="false">
      <c r="A22" s="22" t="s">
        <v>84</v>
      </c>
      <c r="B22" s="22" t="s">
        <v>85</v>
      </c>
      <c r="C22" s="24" t="s">
        <v>86</v>
      </c>
      <c r="D22" s="25" t="n">
        <v>12</v>
      </c>
      <c r="E22" s="6" t="n">
        <v>58000</v>
      </c>
      <c r="F22" s="6" t="n">
        <f aca="false">D22*E22</f>
        <v>696000</v>
      </c>
      <c r="G22" s="6" t="n">
        <v>86000</v>
      </c>
      <c r="H22" s="6" t="n">
        <f aca="false">D22*G22</f>
        <v>1032000</v>
      </c>
      <c r="I22" s="6" t="n">
        <v>0</v>
      </c>
      <c r="J22" s="6" t="n">
        <f aca="false">D22*I22</f>
        <v>0</v>
      </c>
      <c r="K22" s="6" t="n">
        <f aca="false">F22+H22+J22</f>
        <v>1728000</v>
      </c>
    </row>
    <row r="23" customFormat="false" ht="15" hidden="false" customHeight="false" outlineLevel="0" collapsed="false">
      <c r="A23" s="26" t="s">
        <v>73</v>
      </c>
      <c r="B23" s="26"/>
      <c r="C23" s="27"/>
      <c r="D23" s="28"/>
      <c r="E23" s="9"/>
      <c r="F23" s="9" t="n">
        <f aca="false">SUM(F18:F21)</f>
        <v>13120000</v>
      </c>
      <c r="G23" s="9"/>
      <c r="H23" s="9" t="n">
        <f aca="false">SUM(H18:H21)</f>
        <v>14140000</v>
      </c>
      <c r="I23" s="9"/>
      <c r="J23" s="9" t="n">
        <f aca="false">SUM(J18:J21)</f>
        <v>0</v>
      </c>
      <c r="K23" s="9" t="n">
        <f aca="false">SUM(K18:K21)</f>
        <v>27260000</v>
      </c>
    </row>
    <row r="24" customFormat="false" ht="15" hidden="false" customHeight="false" outlineLevel="0" collapsed="false">
      <c r="A24" s="22"/>
      <c r="B24" s="22"/>
      <c r="C24" s="24"/>
      <c r="D24" s="25"/>
      <c r="E24" s="6"/>
      <c r="F24" s="6"/>
      <c r="G24" s="6"/>
      <c r="H24" s="6"/>
      <c r="I24" s="6"/>
      <c r="J24" s="6"/>
      <c r="K24" s="6"/>
    </row>
    <row r="25" customFormat="false" ht="15" hidden="false" customHeight="false" outlineLevel="0" collapsed="false">
      <c r="A25" s="18" t="s">
        <v>87</v>
      </c>
      <c r="B25" s="18"/>
      <c r="C25" s="19"/>
      <c r="D25" s="20"/>
      <c r="E25" s="21"/>
      <c r="F25" s="21"/>
      <c r="G25" s="21"/>
      <c r="H25" s="21"/>
      <c r="I25" s="21"/>
      <c r="J25" s="21"/>
      <c r="K25" s="21"/>
    </row>
    <row r="26" customFormat="false" ht="15" hidden="false" customHeight="false" outlineLevel="0" collapsed="false">
      <c r="A26" s="22" t="s">
        <v>88</v>
      </c>
      <c r="B26" s="23" t="s">
        <v>89</v>
      </c>
      <c r="C26" s="24" t="s">
        <v>90</v>
      </c>
      <c r="D26" s="25" t="n">
        <v>14</v>
      </c>
      <c r="E26" s="6" t="n">
        <v>0</v>
      </c>
      <c r="F26" s="6" t="n">
        <f aca="false">D26*E26</f>
        <v>0</v>
      </c>
      <c r="G26" s="6" t="n">
        <v>0</v>
      </c>
      <c r="H26" s="6" t="n">
        <f aca="false">D26*G26</f>
        <v>0</v>
      </c>
      <c r="I26" s="6" t="n">
        <v>420000</v>
      </c>
      <c r="J26" s="6" t="n">
        <f aca="false">D26*I26</f>
        <v>5880000</v>
      </c>
      <c r="K26" s="6" t="n">
        <f aca="false">F26+H26+J26</f>
        <v>5880000</v>
      </c>
    </row>
    <row r="27" customFormat="false" ht="15" hidden="false" customHeight="false" outlineLevel="0" collapsed="false">
      <c r="A27" s="22" t="s">
        <v>91</v>
      </c>
      <c r="B27" s="22" t="s">
        <v>92</v>
      </c>
      <c r="C27" s="24" t="s">
        <v>68</v>
      </c>
      <c r="D27" s="25" t="n">
        <v>1</v>
      </c>
      <c r="E27" s="6" t="n">
        <v>0</v>
      </c>
      <c r="F27" s="6" t="n">
        <f aca="false">D27*E27</f>
        <v>0</v>
      </c>
      <c r="G27" s="6" t="n">
        <v>2400000</v>
      </c>
      <c r="H27" s="6" t="n">
        <f aca="false">D27*G27</f>
        <v>2400000</v>
      </c>
      <c r="I27" s="6" t="n">
        <v>650000</v>
      </c>
      <c r="J27" s="6" t="n">
        <f aca="false">D27*I27</f>
        <v>650000</v>
      </c>
      <c r="K27" s="6" t="n">
        <f aca="false">F27+H27</f>
        <v>2400000</v>
      </c>
    </row>
    <row r="28" customFormat="false" ht="15" hidden="false" customHeight="false" outlineLevel="0" collapsed="false">
      <c r="A28" s="22" t="s">
        <v>93</v>
      </c>
      <c r="B28" s="22" t="s">
        <v>94</v>
      </c>
      <c r="C28" s="24" t="s">
        <v>68</v>
      </c>
      <c r="D28" s="25" t="n">
        <v>1</v>
      </c>
      <c r="E28" s="6" t="n">
        <v>0</v>
      </c>
      <c r="F28" s="6" t="n">
        <f aca="false">D28*E28</f>
        <v>0</v>
      </c>
      <c r="G28" s="6" t="n">
        <v>0</v>
      </c>
      <c r="H28" s="6" t="n">
        <f aca="false">D28*G28</f>
        <v>0</v>
      </c>
      <c r="I28" s="6" t="n">
        <v>380000</v>
      </c>
      <c r="J28" s="6" t="n">
        <f aca="false">D28*I28</f>
        <v>380000</v>
      </c>
      <c r="K28" s="6" t="n">
        <f aca="false">F28+H28+J28</f>
        <v>380000</v>
      </c>
    </row>
    <row r="29" customFormat="false" ht="15" hidden="false" customHeight="false" outlineLevel="0" collapsed="false">
      <c r="A29" s="26" t="s">
        <v>73</v>
      </c>
      <c r="B29" s="26"/>
      <c r="C29" s="27"/>
      <c r="D29" s="28"/>
      <c r="E29" s="9"/>
      <c r="F29" s="9" t="n">
        <f aca="false">SUM(F26:F28)</f>
        <v>0</v>
      </c>
      <c r="G29" s="9"/>
      <c r="H29" s="9" t="n">
        <f aca="false">SUM(H26:H28)</f>
        <v>2400000</v>
      </c>
      <c r="I29" s="9"/>
      <c r="J29" s="9" t="n">
        <f aca="false">SUM(J26:J28)</f>
        <v>6910000</v>
      </c>
      <c r="K29" s="9" t="n">
        <f aca="false">SUM(K26:K28)</f>
        <v>8660000</v>
      </c>
    </row>
    <row r="30" customFormat="false" ht="15" hidden="false" customHeight="false" outlineLevel="0" collapsed="false">
      <c r="A30" s="22"/>
      <c r="B30" s="22"/>
      <c r="C30" s="24"/>
      <c r="D30" s="25"/>
      <c r="E30" s="6"/>
      <c r="F30" s="6"/>
      <c r="G30" s="6"/>
      <c r="H30" s="6"/>
      <c r="I30" s="6"/>
      <c r="J30" s="6"/>
      <c r="K30" s="6"/>
    </row>
    <row r="31" customFormat="false" ht="15" hidden="false" customHeight="false" outlineLevel="0" collapsed="false">
      <c r="A31" s="30" t="s">
        <v>95</v>
      </c>
      <c r="B31" s="30"/>
      <c r="C31" s="31"/>
      <c r="D31" s="32"/>
      <c r="E31" s="33"/>
      <c r="F31" s="33" t="n">
        <v>138500000</v>
      </c>
      <c r="G31" s="33"/>
      <c r="H31" s="33" t="n">
        <v>41200000</v>
      </c>
      <c r="I31" s="33"/>
      <c r="J31" s="33" t="n">
        <v>7500000</v>
      </c>
      <c r="K31" s="33" t="n">
        <v>187200000</v>
      </c>
    </row>
  </sheetData>
  <mergeCells count="8">
    <mergeCell ref="A5:A6"/>
    <mergeCell ref="B5:B6"/>
    <mergeCell ref="C5:C6"/>
    <mergeCell ref="D5:D6"/>
    <mergeCell ref="E5:F5"/>
    <mergeCell ref="G5:H5"/>
    <mergeCell ref="I5:J5"/>
    <mergeCell ref="K5:K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4" min="4" style="0" width="7"/>
    <col collapsed="false" customWidth="true" hidden="false" outlineLevel="0" max="5" min="5" style="0" width="46"/>
    <col collapsed="false" customWidth="true" hidden="false" outlineLevel="0" max="6" min="6" style="0" width="10"/>
  </cols>
  <sheetData>
    <row r="1" customFormat="false" ht="17.35" hidden="false" customHeight="false" outlineLevel="0" collapsed="false">
      <c r="A1" s="34" t="s">
        <v>96</v>
      </c>
    </row>
    <row r="2" customFormat="false" ht="15" hidden="false" customHeight="false" outlineLevel="0" collapsed="false">
      <c r="A2" s="3" t="s">
        <v>97</v>
      </c>
    </row>
    <row r="4" customFormat="false" ht="15" hidden="false" customHeight="false" outlineLevel="0" collapsed="false">
      <c r="A4" s="4" t="s">
        <v>98</v>
      </c>
      <c r="B4" s="4" t="s">
        <v>45</v>
      </c>
      <c r="C4" s="4" t="s">
        <v>46</v>
      </c>
      <c r="D4" s="4" t="s">
        <v>47</v>
      </c>
      <c r="E4" s="4" t="s">
        <v>5</v>
      </c>
      <c r="F4" s="4" t="s">
        <v>48</v>
      </c>
    </row>
    <row r="5" customFormat="false" ht="15" hidden="false" customHeight="false" outlineLevel="0" collapsed="false">
      <c r="A5" s="35" t="n">
        <v>1</v>
      </c>
      <c r="B5" s="36" t="s">
        <v>56</v>
      </c>
      <c r="C5" s="37" t="s">
        <v>57</v>
      </c>
      <c r="D5" s="38" t="s">
        <v>58</v>
      </c>
      <c r="E5" s="36" t="s">
        <v>99</v>
      </c>
      <c r="F5" s="39" t="n">
        <v>18</v>
      </c>
    </row>
    <row r="6" customFormat="false" ht="15" hidden="false" customHeight="false" outlineLevel="0" collapsed="false">
      <c r="A6" s="38" t="n">
        <v>2</v>
      </c>
      <c r="B6" s="36" t="s">
        <v>59</v>
      </c>
      <c r="C6" s="37" t="s">
        <v>60</v>
      </c>
      <c r="D6" s="38" t="s">
        <v>58</v>
      </c>
      <c r="E6" s="36" t="s">
        <v>100</v>
      </c>
      <c r="F6" s="39" t="n">
        <v>6</v>
      </c>
    </row>
    <row r="7" customFormat="false" ht="15" hidden="false" customHeight="false" outlineLevel="0" collapsed="false">
      <c r="A7" s="38" t="n">
        <v>3</v>
      </c>
      <c r="B7" s="36" t="s">
        <v>61</v>
      </c>
      <c r="C7" s="37" t="s">
        <v>62</v>
      </c>
      <c r="D7" s="38" t="s">
        <v>58</v>
      </c>
      <c r="E7" s="37" t="s">
        <v>101</v>
      </c>
      <c r="F7" s="39" t="n">
        <v>2</v>
      </c>
    </row>
    <row r="8" customFormat="false" ht="15" hidden="false" customHeight="false" outlineLevel="0" collapsed="false">
      <c r="A8" s="38" t="n">
        <v>4</v>
      </c>
      <c r="B8" s="36" t="s">
        <v>63</v>
      </c>
      <c r="C8" s="37" t="s">
        <v>64</v>
      </c>
      <c r="D8" s="38" t="s">
        <v>65</v>
      </c>
      <c r="E8" s="37" t="s">
        <v>102</v>
      </c>
      <c r="F8" s="39" t="n">
        <v>12</v>
      </c>
    </row>
    <row r="9" customFormat="false" ht="15" hidden="false" customHeight="false" outlineLevel="0" collapsed="false">
      <c r="A9" s="38" t="n">
        <v>5</v>
      </c>
      <c r="B9" s="36" t="s">
        <v>66</v>
      </c>
      <c r="C9" s="37" t="s">
        <v>67</v>
      </c>
      <c r="D9" s="38" t="s">
        <v>68</v>
      </c>
      <c r="E9" s="37" t="s">
        <v>103</v>
      </c>
      <c r="F9" s="39" t="n">
        <v>1</v>
      </c>
    </row>
    <row r="10" customFormat="false" ht="15" hidden="false" customHeight="false" outlineLevel="0" collapsed="false">
      <c r="A10" s="38" t="n">
        <v>6</v>
      </c>
      <c r="B10" s="36" t="s">
        <v>69</v>
      </c>
      <c r="C10" s="36" t="s">
        <v>70</v>
      </c>
      <c r="D10" s="38" t="s">
        <v>65</v>
      </c>
      <c r="E10" s="36" t="s">
        <v>104</v>
      </c>
      <c r="F10" s="39" t="n">
        <v>18</v>
      </c>
    </row>
    <row r="11" customFormat="false" ht="15" hidden="false" customHeight="false" outlineLevel="0" collapsed="false">
      <c r="A11" s="38" t="n">
        <v>7</v>
      </c>
      <c r="B11" s="36" t="s">
        <v>71</v>
      </c>
      <c r="C11" s="37" t="s">
        <v>72</v>
      </c>
      <c r="D11" s="38" t="s">
        <v>65</v>
      </c>
      <c r="E11" s="37" t="s">
        <v>105</v>
      </c>
      <c r="F11" s="39" t="n">
        <v>6</v>
      </c>
    </row>
    <row r="12" customFormat="false" ht="15" hidden="false" customHeight="false" outlineLevel="0" collapsed="false">
      <c r="A12" s="38" t="n">
        <v>8</v>
      </c>
      <c r="B12" s="36" t="s">
        <v>75</v>
      </c>
      <c r="C12" s="37" t="s">
        <v>76</v>
      </c>
      <c r="D12" s="35" t="s">
        <v>77</v>
      </c>
      <c r="E12" s="37" t="s">
        <v>106</v>
      </c>
      <c r="F12" s="39" t="n">
        <v>1650</v>
      </c>
    </row>
    <row r="13" customFormat="false" ht="15" hidden="false" customHeight="false" outlineLevel="0" collapsed="false">
      <c r="A13" s="38" t="n">
        <v>9</v>
      </c>
      <c r="B13" s="36" t="s">
        <v>78</v>
      </c>
      <c r="C13" s="36" t="s">
        <v>79</v>
      </c>
      <c r="D13" s="35" t="s">
        <v>77</v>
      </c>
      <c r="E13" s="36" t="s">
        <v>107</v>
      </c>
      <c r="F13" s="39" t="n">
        <v>320</v>
      </c>
    </row>
    <row r="14" customFormat="false" ht="15" hidden="false" customHeight="false" outlineLevel="0" collapsed="false">
      <c r="A14" s="38" t="n">
        <v>10</v>
      </c>
      <c r="B14" s="37" t="s">
        <v>80</v>
      </c>
      <c r="C14" s="37" t="s">
        <v>81</v>
      </c>
      <c r="D14" s="35" t="s">
        <v>77</v>
      </c>
      <c r="E14" s="36" t="s">
        <v>108</v>
      </c>
      <c r="F14" s="39" t="n">
        <v>2400</v>
      </c>
    </row>
    <row r="15" customFormat="false" ht="15" hidden="false" customHeight="false" outlineLevel="0" collapsed="false">
      <c r="A15" s="38" t="n">
        <v>11</v>
      </c>
      <c r="B15" s="36" t="s">
        <v>82</v>
      </c>
      <c r="C15" s="37" t="s">
        <v>83</v>
      </c>
      <c r="D15" s="35" t="s">
        <v>77</v>
      </c>
      <c r="E15" s="36" t="s">
        <v>109</v>
      </c>
      <c r="F15" s="39" t="n">
        <v>600</v>
      </c>
    </row>
    <row r="16" customFormat="false" ht="15" hidden="false" customHeight="false" outlineLevel="0" collapsed="false">
      <c r="A16" s="38" t="n">
        <v>12</v>
      </c>
      <c r="B16" s="36" t="s">
        <v>84</v>
      </c>
      <c r="C16" s="36" t="s">
        <v>85</v>
      </c>
      <c r="D16" s="38" t="s">
        <v>86</v>
      </c>
      <c r="E16" s="36" t="s">
        <v>110</v>
      </c>
      <c r="F16" s="39" t="n">
        <v>14</v>
      </c>
    </row>
    <row r="17" customFormat="false" ht="15" hidden="false" customHeight="false" outlineLevel="0" collapsed="false">
      <c r="A17" s="38" t="n">
        <v>13</v>
      </c>
      <c r="B17" s="36" t="s">
        <v>88</v>
      </c>
      <c r="C17" s="37" t="s">
        <v>89</v>
      </c>
      <c r="D17" s="38" t="s">
        <v>90</v>
      </c>
      <c r="E17" s="36" t="s">
        <v>111</v>
      </c>
      <c r="F17" s="39" t="n">
        <v>14</v>
      </c>
    </row>
    <row r="18" customFormat="false" ht="15" hidden="false" customHeight="false" outlineLevel="0" collapsed="false">
      <c r="A18" s="38" t="n">
        <v>14</v>
      </c>
      <c r="B18" s="36" t="s">
        <v>91</v>
      </c>
      <c r="C18" s="36" t="s">
        <v>92</v>
      </c>
      <c r="D18" s="38" t="s">
        <v>68</v>
      </c>
      <c r="E18" s="36" t="s">
        <v>112</v>
      </c>
      <c r="F18" s="39" t="n">
        <v>1</v>
      </c>
    </row>
    <row r="19" customFormat="false" ht="15" hidden="false" customHeight="false" outlineLevel="0" collapsed="false">
      <c r="A19" s="38" t="n">
        <v>15</v>
      </c>
      <c r="B19" s="36" t="s">
        <v>113</v>
      </c>
      <c r="C19" s="37" t="s">
        <v>114</v>
      </c>
      <c r="D19" s="38" t="s">
        <v>65</v>
      </c>
      <c r="E19" s="36" t="s">
        <v>115</v>
      </c>
      <c r="F19" s="39" t="n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22"/>
  </cols>
  <sheetData>
    <row r="1" customFormat="false" ht="17.35" hidden="false" customHeight="false" outlineLevel="0" collapsed="false">
      <c r="A1" s="34" t="s">
        <v>116</v>
      </c>
    </row>
    <row r="2" customFormat="false" ht="15" hidden="false" customHeight="false" outlineLevel="0" collapsed="false">
      <c r="A2" s="3" t="s">
        <v>117</v>
      </c>
    </row>
    <row r="4" customFormat="false" ht="15" hidden="false" customHeight="false" outlineLevel="0" collapsed="false">
      <c r="A4" s="4" t="s">
        <v>118</v>
      </c>
      <c r="B4" s="4" t="s">
        <v>45</v>
      </c>
      <c r="C4" s="4" t="s">
        <v>46</v>
      </c>
      <c r="D4" s="4" t="s">
        <v>47</v>
      </c>
      <c r="E4" s="4" t="s">
        <v>48</v>
      </c>
      <c r="F4" s="4" t="s">
        <v>53</v>
      </c>
      <c r="G4" s="4" t="s">
        <v>54</v>
      </c>
      <c r="H4" s="4" t="s">
        <v>119</v>
      </c>
    </row>
    <row r="5" customFormat="false" ht="15" hidden="false" customHeight="false" outlineLevel="0" collapsed="false">
      <c r="A5" s="40" t="s">
        <v>120</v>
      </c>
      <c r="B5" s="41" t="s">
        <v>121</v>
      </c>
      <c r="C5" s="41"/>
      <c r="D5" s="40" t="s">
        <v>122</v>
      </c>
      <c r="E5" s="42"/>
      <c r="F5" s="21"/>
      <c r="G5" s="21"/>
      <c r="H5" s="41"/>
    </row>
    <row r="6" customFormat="false" ht="15" hidden="false" customHeight="false" outlineLevel="0" collapsed="false">
      <c r="A6" s="24"/>
      <c r="B6" s="5" t="s">
        <v>123</v>
      </c>
      <c r="C6" s="5"/>
      <c r="D6" s="24" t="s">
        <v>124</v>
      </c>
      <c r="E6" s="43" t="n">
        <v>0.45</v>
      </c>
      <c r="F6" s="6" t="n">
        <v>285000</v>
      </c>
      <c r="G6" s="6" t="n">
        <f aca="false">ROUND(E6*F6,0)</f>
        <v>128250</v>
      </c>
      <c r="H6" s="5" t="s">
        <v>125</v>
      </c>
    </row>
    <row r="7" customFormat="false" ht="15" hidden="false" customHeight="false" outlineLevel="0" collapsed="false">
      <c r="A7" s="24"/>
      <c r="B7" s="5" t="s">
        <v>126</v>
      </c>
      <c r="C7" s="5"/>
      <c r="D7" s="24" t="s">
        <v>124</v>
      </c>
      <c r="E7" s="43" t="n">
        <v>0.3</v>
      </c>
      <c r="F7" s="6" t="n">
        <v>175000</v>
      </c>
      <c r="G7" s="6" t="n">
        <f aca="false">ROUND(E7*F7,0)</f>
        <v>52500</v>
      </c>
      <c r="H7" s="5" t="s">
        <v>125</v>
      </c>
    </row>
    <row r="8" customFormat="false" ht="15" hidden="false" customHeight="false" outlineLevel="0" collapsed="false">
      <c r="A8" s="24"/>
      <c r="B8" s="5" t="s">
        <v>127</v>
      </c>
      <c r="C8" s="5"/>
      <c r="D8" s="24" t="s">
        <v>68</v>
      </c>
      <c r="E8" s="43" t="n">
        <v>1</v>
      </c>
      <c r="F8" s="6" t="n">
        <v>4200</v>
      </c>
      <c r="G8" s="6" t="n">
        <f aca="false">ROUND(E8*F8,0)</f>
        <v>4200</v>
      </c>
      <c r="H8" s="5" t="s">
        <v>128</v>
      </c>
    </row>
    <row r="9" customFormat="false" ht="15" hidden="false" customHeight="false" outlineLevel="0" collapsed="false">
      <c r="A9" s="24"/>
      <c r="B9" s="5" t="s">
        <v>129</v>
      </c>
      <c r="C9" s="5"/>
      <c r="D9" s="24"/>
      <c r="E9" s="43"/>
      <c r="F9" s="6"/>
      <c r="G9" s="6" t="n">
        <f aca="false">SUM(G6:G8)</f>
        <v>184950</v>
      </c>
      <c r="H9" s="5"/>
    </row>
    <row r="10" customFormat="false" ht="15" hidden="false" customHeight="false" outlineLevel="0" collapsed="false">
      <c r="A10" s="24"/>
      <c r="B10" s="5"/>
      <c r="C10" s="5"/>
      <c r="D10" s="24"/>
      <c r="E10" s="43"/>
      <c r="F10" s="6"/>
      <c r="G10" s="6"/>
      <c r="H10" s="5"/>
    </row>
    <row r="11" customFormat="false" ht="15" hidden="false" customHeight="false" outlineLevel="0" collapsed="false">
      <c r="A11" s="40" t="s">
        <v>130</v>
      </c>
      <c r="B11" s="41" t="s">
        <v>131</v>
      </c>
      <c r="C11" s="41"/>
      <c r="D11" s="19" t="s">
        <v>132</v>
      </c>
      <c r="E11" s="42"/>
      <c r="F11" s="21"/>
      <c r="G11" s="21"/>
      <c r="H11" s="41"/>
    </row>
    <row r="12" customFormat="false" ht="15" hidden="false" customHeight="false" outlineLevel="0" collapsed="false">
      <c r="A12" s="24"/>
      <c r="B12" s="5" t="s">
        <v>126</v>
      </c>
      <c r="C12" s="5"/>
      <c r="D12" s="24" t="s">
        <v>124</v>
      </c>
      <c r="E12" s="43" t="n">
        <v>0.018</v>
      </c>
      <c r="F12" s="6" t="n">
        <v>175000</v>
      </c>
      <c r="G12" s="6" t="n">
        <f aca="false">ROUND(E12*F12,0)</f>
        <v>3150</v>
      </c>
      <c r="H12" s="5" t="s">
        <v>133</v>
      </c>
    </row>
    <row r="13" customFormat="false" ht="15" hidden="false" customHeight="false" outlineLevel="0" collapsed="false">
      <c r="A13" s="24"/>
      <c r="B13" s="5" t="s">
        <v>134</v>
      </c>
      <c r="C13" s="5"/>
      <c r="D13" s="24" t="s">
        <v>124</v>
      </c>
      <c r="E13" s="43" t="n">
        <v>0.009</v>
      </c>
      <c r="F13" s="6" t="n">
        <v>158000</v>
      </c>
      <c r="G13" s="6" t="n">
        <f aca="false">ROUND(E13*F13,0)</f>
        <v>1422</v>
      </c>
      <c r="H13" s="5"/>
    </row>
    <row r="14" customFormat="false" ht="15" hidden="false" customHeight="false" outlineLevel="0" collapsed="false">
      <c r="A14" s="24"/>
      <c r="B14" s="5" t="s">
        <v>135</v>
      </c>
      <c r="C14" s="5"/>
      <c r="D14" s="24" t="s">
        <v>68</v>
      </c>
      <c r="E14" s="43" t="n">
        <v>1</v>
      </c>
      <c r="F14" s="6" t="n">
        <v>96</v>
      </c>
      <c r="G14" s="6" t="n">
        <f aca="false">ROUND(E14*F14,0)</f>
        <v>96</v>
      </c>
      <c r="H14" s="5" t="s">
        <v>136</v>
      </c>
    </row>
    <row r="15" customFormat="false" ht="15" hidden="false" customHeight="false" outlineLevel="0" collapsed="false">
      <c r="A15" s="24"/>
      <c r="B15" s="5" t="s">
        <v>129</v>
      </c>
      <c r="C15" s="5"/>
      <c r="D15" s="24"/>
      <c r="E15" s="43"/>
      <c r="F15" s="6"/>
      <c r="G15" s="6" t="n">
        <f aca="false">SUM(G12:G14)</f>
        <v>4668</v>
      </c>
      <c r="H15" s="5"/>
    </row>
    <row r="16" customFormat="false" ht="15" hidden="false" customHeight="false" outlineLevel="0" collapsed="false">
      <c r="A16" s="24"/>
      <c r="B16" s="5"/>
      <c r="C16" s="5"/>
      <c r="D16" s="24"/>
      <c r="E16" s="43"/>
      <c r="F16" s="6"/>
      <c r="G16" s="6"/>
      <c r="H16" s="5"/>
    </row>
    <row r="17" customFormat="false" ht="15" hidden="false" customHeight="false" outlineLevel="0" collapsed="false">
      <c r="A17" s="40" t="s">
        <v>137</v>
      </c>
      <c r="B17" s="44" t="s">
        <v>138</v>
      </c>
      <c r="C17" s="41"/>
      <c r="D17" s="19" t="s">
        <v>132</v>
      </c>
      <c r="E17" s="42"/>
      <c r="F17" s="21"/>
      <c r="G17" s="21"/>
      <c r="H17" s="41"/>
    </row>
    <row r="18" customFormat="false" ht="15" hidden="false" customHeight="false" outlineLevel="0" collapsed="false">
      <c r="A18" s="24"/>
      <c r="B18" s="5" t="s">
        <v>126</v>
      </c>
      <c r="C18" s="5"/>
      <c r="D18" s="24" t="s">
        <v>124</v>
      </c>
      <c r="E18" s="43" t="n">
        <v>0.005</v>
      </c>
      <c r="F18" s="6" t="n">
        <v>175000</v>
      </c>
      <c r="G18" s="6" t="n">
        <f aca="false">ROUND(E18*F18,0)</f>
        <v>875</v>
      </c>
      <c r="H18" s="5" t="s">
        <v>139</v>
      </c>
    </row>
    <row r="19" customFormat="false" ht="15" hidden="false" customHeight="false" outlineLevel="0" collapsed="false">
      <c r="A19" s="24"/>
      <c r="B19" s="5" t="s">
        <v>134</v>
      </c>
      <c r="C19" s="5"/>
      <c r="D19" s="24" t="s">
        <v>124</v>
      </c>
      <c r="E19" s="43" t="n">
        <v>0.0014</v>
      </c>
      <c r="F19" s="6" t="n">
        <v>158000</v>
      </c>
      <c r="G19" s="6" t="n">
        <f aca="false">ROUND(E19*F19,0)</f>
        <v>221</v>
      </c>
      <c r="H19" s="5"/>
    </row>
    <row r="20" customFormat="false" ht="15" hidden="false" customHeight="false" outlineLevel="0" collapsed="false">
      <c r="A20" s="24"/>
      <c r="B20" s="5" t="s">
        <v>129</v>
      </c>
      <c r="C20" s="5"/>
      <c r="D20" s="24"/>
      <c r="E20" s="43"/>
      <c r="F20" s="6"/>
      <c r="G20" s="6" t="n">
        <f aca="false">SUM(G18:G19)</f>
        <v>1096</v>
      </c>
      <c r="H20" s="5"/>
    </row>
    <row r="21" customFormat="false" ht="15" hidden="false" customHeight="false" outlineLevel="0" collapsed="false">
      <c r="A21" s="24"/>
      <c r="B21" s="5"/>
      <c r="C21" s="5"/>
      <c r="D21" s="24"/>
      <c r="E21" s="43"/>
      <c r="F21" s="6"/>
      <c r="G21" s="6"/>
      <c r="H21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2026-08-02T02:49:21Z</dcterms:created>
  <dc:creator>openpyxl</dc:creator>
  <dc:description/>
  <dc:language>en-US</dc:language>
  <cp:lastModifiedBy/>
  <dcterms:modified xsi:type="dcterms:W3CDTF">2026-08-02T02:49:21Z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